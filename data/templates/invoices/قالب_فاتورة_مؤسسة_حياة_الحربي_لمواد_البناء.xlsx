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<sst xmlns="http://schemas.openxmlformats.org/spreadsheetml/2006/main" count="146" uniqueCount="53">
  <si>
    <t>Hayat Al-Harbi Building Materials Est</t>
  </si>
  <si>
    <t xml:space="preserve">حياة الحربي لمواد البناء
HAYAT AL-HARBI BUILDING MATERIALS EST.</t>
  </si>
  <si>
    <t>مؤسسة حياة الحربي لمواد البناء</t>
  </si>
  <si>
    <t>TAX NO.: 310146822400003</t>
  </si>
  <si>
    <t>مهد الذهب - حي الورود</t>
  </si>
  <si>
    <t>CR NO.: 4652103025</t>
  </si>
  <si>
    <t>الرقم الضريبي: 310146822400003</t>
  </si>
  <si>
    <t>السجل التجاري: 4652103025</t>
  </si>
  <si>
    <t>فاتورة ضريبية - فاتورة بيع (اجلة) | رقم: .... | التاريخ: ....</t>
  </si>
  <si>
    <t>العميل Client:</t>
  </si>
  <si>
    <t/>
  </si>
  <si>
    <t>الرقم الضريبي Tax No:</t>
  </si>
  <si>
    <t>المدينة City:</t>
  </si>
  <si>
    <t>الشارع Street:</t>
  </si>
  <si>
    <t>الرمز البريدي Zip:</t>
  </si>
  <si>
    <t>الحي District:</t>
  </si>
  <si>
    <t>رقم المبنى Build No:</t>
  </si>
  <si>
    <t>#</t>
  </si>
  <si>
    <t xml:space="preserve">اسم الصنف
Item Name</t>
  </si>
  <si>
    <t xml:space="preserve">الكمية
Qty</t>
  </si>
  <si>
    <t xml:space="preserve">الوحدة
Unit</t>
  </si>
  <si>
    <t xml:space="preserve">سعر الوحدة
Unit Price</t>
  </si>
  <si>
    <t xml:space="preserve">المبلغ الخاضع للضريبة
Taxable Amount</t>
  </si>
  <si>
    <t xml:space="preserve">الخصم
Discount</t>
  </si>
  <si>
    <t xml:space="preserve">قيمة الضريبة 15%
VAT Amount</t>
  </si>
  <si>
    <t xml:space="preserve">الاجمالي مع الضريبة
Total With VAT</t>
  </si>
  <si>
    <t>طن</t>
  </si>
  <si>
    <t>الإجمالي قبل الخصم (Sub Total):</t>
  </si>
  <si>
    <t>ملاحظات Notes: مطابقة لاشتراطات كود البناء السعودي للمقاولات</t>
  </si>
  <si>
    <t>الخصم (Discount):</t>
  </si>
  <si>
    <t>UUID: e1a357b9-4f8e-4a6c-92bf-d68a9f0e1234</t>
  </si>
  <si>
    <t>القيمة المضافة (15%) VAT:</t>
  </si>
  <si>
    <t>يتم تفقيط المبلغ هنا تلقائياً...</t>
  </si>
  <si>
    <t>الإجمالي شامل الضريبة (Total After VAT):</t>
  </si>
  <si>
    <t>المدفوع (Paid):</t>
  </si>
  <si>
    <t>الرصيد المستحق (Due Amount):</t>
  </si>
  <si>
    <t>1 - 1  |  مهد الذهب - حي الورود  |  مؤسسة حياة الحربي لمواد البناء</t>
  </si>
  <si>
    <t>فاتورة ضريبية - فاتورة بيع (اجلة) | رقم: 4523 | التاريخ: 2026/3/27 م</t>
  </si>
  <si>
    <t>مؤسسة رواد الاتحاد للمقاولات العامة</t>
  </si>
  <si>
    <t>310179427900003</t>
  </si>
  <si>
    <t>الرياض</t>
  </si>
  <si>
    <t>وادي السمان</t>
  </si>
  <si>
    <t>13516</t>
  </si>
  <si>
    <t>حي حطين</t>
  </si>
  <si>
    <t>6868</t>
  </si>
  <si>
    <t>المملكة العربية السعودية</t>
  </si>
  <si>
    <t>حديد تسليح 18 ملم</t>
  </si>
  <si>
    <t>حديد تسليح 14 ملم</t>
  </si>
  <si>
    <t>حديد تسليح 10 ملم مواصفة</t>
  </si>
  <si>
    <t>كيس اسمنت عادي عبوة 50 كيلو</t>
  </si>
  <si>
    <t>كيس</t>
  </si>
  <si>
    <t>حديد تسليح 8 ملم</t>
  </si>
  <si>
    <t>فقط ثلاثة و سبعون ألفاً ومائة وثمانية وتسعون ريالا سعودي وأربع وأربعون هللة لا 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</si>
</sst>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45A32"/>
      <sz val="9"/>
      <name val="Calibri"/>
    </font>
    <font>
      <b/>
      <color rgb="FF145A32"/>
      <sz val="13"/>
      <name val="Calibri"/>
    </font>
    <font>
      <b/>
      <color rgb="FF145A32"/>
      <sz val="10"/>
      <name val="Calibri"/>
    </font>
    <font>
      <b/>
      <sz val="8"/>
      <name val="Calibri"/>
    </font>
    <font>
      <color rgb="FF595959"/>
      <sz val="8"/>
      <name val="Calibri"/>
    </font>
    <font>
      <sz val="8"/>
      <name val="Calibri"/>
    </font>
    <font>
      <b/>
      <sz val="9"/>
      <name val="Calibri"/>
    </font>
    <font>
      <sz val="9"/>
      <name val="Calibri"/>
    </font>
    <font>
      <b/>
      <color rgb="FFFFFFFF"/>
      <sz val="9"/>
      <name val="Calibri"/>
    </font>
    <font>
      <i/>
      <sz val="8"/>
      <name val="Calibri"/>
    </font>
    <font>
      <color rgb="FF7F7F7F"/>
      <sz val="8"/>
      <name val="Calibri"/>
    </font>
    <font>
      <b/>
      <color rgb="FF145A32"/>
      <sz val="11"/>
      <name val="Calibri"/>
    </font>
    <font>
      <i/>
      <color rgb="FF7F7F7F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8F8F5"/>
      </patternFill>
    </fill>
    <fill>
      <patternFill patternType="solid">
        <fgColor rgb="FFFFFAF0"/>
      </patternFill>
    </fill>
    <fill>
      <patternFill patternType="solid">
        <fgColor rgb="FF1E4D2B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D4EFD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4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right" vertical="center"/>
    </xf>
    <xf numFmtId="4" fontId="12" fillId="7" borderId="3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6000</xdr:colOff>
      <xdr:row>34</xdr:row>
      <xdr:rowOff>143999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6000</xdr:colOff>
      <xdr:row>34</xdr:row>
      <xdr:rowOff>143999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3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30" customWidth="1"/>
    <col min="3" max="3" width="10" customWidth="1"/>
    <col min="5" max="5" width="13" customWidth="1"/>
    <col min="6" max="6" width="15" customWidth="1"/>
    <col min="7" max="7" width="10" customWidth="1"/>
    <col min="8" max="8" width="13" customWidth="1"/>
    <col min="9" max="9" width="16" customWidth="1"/>
  </cols>
  <sheetData>
    <row r="2" spans="1:9" x14ac:dyDescent="0.25">
      <c r="A2" s="1" t="s">
        <v>0</v>
      </c>
      <c r="B2" s="1"/>
      <c r="C2" s="2" t="s">
        <v>1</v>
      </c>
      <c r="D2" s="2"/>
      <c r="E2" s="2"/>
      <c r="F2" s="2"/>
      <c r="G2" s="2"/>
      <c r="H2" s="3" t="s">
        <v>2</v>
      </c>
      <c r="I2" s="3"/>
    </row>
    <row r="3" spans="1:9" x14ac:dyDescent="0.25">
      <c r="A3" s="4" t="s">
        <v>3</v>
      </c>
      <c r="B3" s="4"/>
      <c r="C3" s="2"/>
      <c r="D3" s="2"/>
      <c r="E3" s="2"/>
      <c r="F3" s="2"/>
      <c r="G3" s="2"/>
      <c r="H3" s="5" t="s">
        <v>4</v>
      </c>
      <c r="I3" s="5"/>
    </row>
    <row r="4" spans="1:9" x14ac:dyDescent="0.25">
      <c r="A4" s="6" t="s">
        <v>5</v>
      </c>
      <c r="B4" s="6"/>
      <c r="H4" s="7" t="s">
        <v>6</v>
      </c>
      <c r="I4" s="7"/>
    </row>
    <row r="5" spans="8:9" x14ac:dyDescent="0.25">
      <c r="H5" s="8" t="s">
        <v>7</v>
      </c>
      <c r="I5" s="8"/>
    </row>
    <row r="6" ht="22" customHeight="1" spans="7:9" x14ac:dyDescent="0.25">
      <c r="G6" s="9" t="s">
        <v>8</v>
      </c>
      <c r="H6" s="9"/>
      <c r="I6" s="9"/>
    </row>
    <row r="8" spans="1:9" x14ac:dyDescent="0.25">
      <c r="A8" s="10" t="s">
        <v>9</v>
      </c>
      <c r="B8" s="10"/>
      <c r="C8" s="11" t="s">
        <v>10</v>
      </c>
      <c r="D8" s="11"/>
      <c r="E8" s="11"/>
      <c r="F8" s="11"/>
      <c r="G8" s="12" t="s">
        <v>11</v>
      </c>
      <c r="H8" s="13" t="s">
        <v>10</v>
      </c>
      <c r="I8" s="13"/>
    </row>
    <row r="9" spans="1:9" x14ac:dyDescent="0.25">
      <c r="A9" s="14" t="s">
        <v>12</v>
      </c>
      <c r="B9" s="15" t="s">
        <v>10</v>
      </c>
      <c r="C9" s="15"/>
      <c r="D9" s="14" t="s">
        <v>13</v>
      </c>
      <c r="E9" s="15" t="s">
        <v>10</v>
      </c>
      <c r="F9" s="15"/>
      <c r="G9" s="15"/>
      <c r="H9" s="15"/>
      <c r="I9" s="15"/>
    </row>
    <row r="10" spans="1:9" x14ac:dyDescent="0.25">
      <c r="A10" s="14" t="s">
        <v>14</v>
      </c>
      <c r="B10" s="15" t="s">
        <v>10</v>
      </c>
      <c r="C10" s="15"/>
      <c r="D10" s="14" t="s">
        <v>15</v>
      </c>
      <c r="E10" s="15" t="s">
        <v>10</v>
      </c>
      <c r="F10" s="15"/>
      <c r="G10" s="15"/>
      <c r="H10" s="15"/>
      <c r="I10" s="15"/>
    </row>
    <row r="11" spans="1:9" x14ac:dyDescent="0.25">
      <c r="A11" s="14" t="s">
        <v>16</v>
      </c>
      <c r="B11" s="15" t="s">
        <v>10</v>
      </c>
      <c r="C11" s="15"/>
      <c r="D11" s="15" t="s">
        <v>10</v>
      </c>
      <c r="E11" s="15"/>
      <c r="F11" s="15"/>
      <c r="G11" s="15"/>
      <c r="H11" s="15"/>
      <c r="I11" s="15"/>
    </row>
    <row r="13" ht="28" customHeight="1" spans="1:9" x14ac:dyDescent="0.25">
      <c r="A13" s="16" t="s">
        <v>17</v>
      </c>
      <c r="B13" s="16" t="s">
        <v>18</v>
      </c>
      <c r="C13" s="16" t="s">
        <v>19</v>
      </c>
      <c r="D13" s="16" t="s">
        <v>20</v>
      </c>
      <c r="E13" s="16" t="s">
        <v>21</v>
      </c>
      <c r="F13" s="16" t="s">
        <v>22</v>
      </c>
      <c r="G13" s="16" t="s">
        <v>23</v>
      </c>
      <c r="H13" s="16" t="s">
        <v>24</v>
      </c>
      <c r="I13" s="16" t="s">
        <v>25</v>
      </c>
    </row>
    <row r="14" ht="20" customHeight="1" spans="1:9" x14ac:dyDescent="0.25">
      <c r="A14" s="17">
        <v>1</v>
      </c>
      <c r="B14" s="18" t="s">
        <v>10</v>
      </c>
      <c r="C14" s="19"/>
      <c r="D14" s="20" t="s">
        <v>26</v>
      </c>
      <c r="E14" s="21"/>
      <c r="F14" s="22">
        <f>IF(OR(C14="",E14=""),"",ROUND(C14*E14,2))</f>
      </c>
      <c r="G14" s="19">
        <v>0</v>
      </c>
      <c r="H14" s="22">
        <f>IF(F14="","",ROUND((F14-G14)*0.15,2))</f>
      </c>
      <c r="I14" s="22">
        <f>IF(F14="","",ROUND(F14-G14+H14,2))</f>
      </c>
    </row>
    <row r="15" ht="20" customHeight="1" spans="1:9" x14ac:dyDescent="0.25">
      <c r="A15" s="17">
        <v>2</v>
      </c>
      <c r="B15" s="18" t="s">
        <v>10</v>
      </c>
      <c r="C15" s="19"/>
      <c r="D15" s="20" t="s">
        <v>26</v>
      </c>
      <c r="E15" s="21"/>
      <c r="F15" s="22">
        <f>IF(OR(C15="",E15=""),"",ROUND(C15*E15,2))</f>
      </c>
      <c r="G15" s="19">
        <v>0</v>
      </c>
      <c r="H15" s="22">
        <f>IF(F15="","",ROUND((F15-G15)*0.15,2))</f>
      </c>
      <c r="I15" s="22">
        <f>IF(F15="","",ROUND(F15-G15+H15,2))</f>
      </c>
    </row>
    <row r="16" ht="20" customHeight="1" spans="1:9" x14ac:dyDescent="0.25">
      <c r="A16" s="17">
        <v>3</v>
      </c>
      <c r="B16" s="18" t="s">
        <v>10</v>
      </c>
      <c r="C16" s="19"/>
      <c r="D16" s="20" t="s">
        <v>26</v>
      </c>
      <c r="E16" s="21"/>
      <c r="F16" s="22">
        <f>IF(OR(C16="",E16=""),"",ROUND(C16*E16,2))</f>
      </c>
      <c r="G16" s="19">
        <v>0</v>
      </c>
      <c r="H16" s="22">
        <f>IF(F16="","",ROUND((F16-G16)*0.15,2))</f>
      </c>
      <c r="I16" s="22">
        <f>IF(F16="","",ROUND(F16-G16+H16,2))</f>
      </c>
    </row>
    <row r="17" ht="20" customHeight="1" spans="1:9" x14ac:dyDescent="0.25">
      <c r="A17" s="17">
        <v>4</v>
      </c>
      <c r="B17" s="18" t="s">
        <v>10</v>
      </c>
      <c r="C17" s="19"/>
      <c r="D17" s="20" t="s">
        <v>26</v>
      </c>
      <c r="E17" s="21"/>
      <c r="F17" s="22">
        <f>IF(OR(C17="",E17=""),"",ROUND(C17*E17,2))</f>
      </c>
      <c r="G17" s="19">
        <v>0</v>
      </c>
      <c r="H17" s="22">
        <f>IF(F17="","",ROUND((F17-G17)*0.15,2))</f>
      </c>
      <c r="I17" s="22">
        <f>IF(F17="","",ROUND(F17-G17+H17,2))</f>
      </c>
    </row>
    <row r="18" ht="20" customHeight="1" spans="1:9" x14ac:dyDescent="0.25">
      <c r="A18" s="17">
        <v>5</v>
      </c>
      <c r="B18" s="18" t="s">
        <v>10</v>
      </c>
      <c r="C18" s="19"/>
      <c r="D18" s="20" t="s">
        <v>26</v>
      </c>
      <c r="E18" s="21"/>
      <c r="F18" s="22">
        <f>IF(OR(C18="",E18=""),"",ROUND(C18*E18,2))</f>
      </c>
      <c r="G18" s="19">
        <v>0</v>
      </c>
      <c r="H18" s="22">
        <f>IF(F18="","",ROUND((F18-G18)*0.15,2))</f>
      </c>
      <c r="I18" s="22">
        <f>IF(F18="","",ROUND(F18-G18+H18,2))</f>
      </c>
    </row>
    <row r="19" ht="20" customHeight="1" spans="1:9" x14ac:dyDescent="0.25">
      <c r="A19" s="17">
        <v>6</v>
      </c>
      <c r="B19" s="18" t="s">
        <v>10</v>
      </c>
      <c r="C19" s="19"/>
      <c r="D19" s="20" t="s">
        <v>26</v>
      </c>
      <c r="E19" s="21"/>
      <c r="F19" s="22">
        <f>IF(OR(C19="",E19=""),"",ROUND(C19*E19,2))</f>
      </c>
      <c r="G19" s="19">
        <v>0</v>
      </c>
      <c r="H19" s="22">
        <f>IF(F19="","",ROUND((F19-G19)*0.15,2))</f>
      </c>
      <c r="I19" s="22">
        <f>IF(F19="","",ROUND(F19-G19+H19,2))</f>
      </c>
    </row>
    <row r="20" ht="20" customHeight="1" spans="1:9" x14ac:dyDescent="0.25">
      <c r="A20" s="17">
        <v>7</v>
      </c>
      <c r="B20" s="18" t="s">
        <v>10</v>
      </c>
      <c r="C20" s="19"/>
      <c r="D20" s="20" t="s">
        <v>26</v>
      </c>
      <c r="E20" s="21"/>
      <c r="F20" s="22">
        <f>IF(OR(C20="",E20=""),"",ROUND(C20*E20,2))</f>
      </c>
      <c r="G20" s="19">
        <v>0</v>
      </c>
      <c r="H20" s="22">
        <f>IF(F20="","",ROUND((F20-G20)*0.15,2))</f>
      </c>
      <c r="I20" s="22">
        <f>IF(F20="","",ROUND(F20-G20+H20,2))</f>
      </c>
    </row>
    <row r="21" ht="20" customHeight="1" spans="1:9" x14ac:dyDescent="0.25">
      <c r="A21" s="17">
        <v>8</v>
      </c>
      <c r="B21" s="18" t="s">
        <v>10</v>
      </c>
      <c r="C21" s="19"/>
      <c r="D21" s="20" t="s">
        <v>26</v>
      </c>
      <c r="E21" s="21"/>
      <c r="F21" s="22">
        <f>IF(OR(C21="",E21=""),"",ROUND(C21*E21,2))</f>
      </c>
      <c r="G21" s="19">
        <v>0</v>
      </c>
      <c r="H21" s="22">
        <f>IF(F21="","",ROUND((F21-G21)*0.15,2))</f>
      </c>
      <c r="I21" s="22">
        <f>IF(F21="","",ROUND(F21-G21+H21,2))</f>
      </c>
    </row>
    <row r="22" ht="20" customHeight="1" spans="1:9" x14ac:dyDescent="0.25">
      <c r="A22" s="17">
        <v>9</v>
      </c>
      <c r="B22" s="18" t="s">
        <v>10</v>
      </c>
      <c r="C22" s="19"/>
      <c r="D22" s="20" t="s">
        <v>26</v>
      </c>
      <c r="E22" s="21"/>
      <c r="F22" s="22">
        <f>IF(OR(C22="",E22=""),"",ROUND(C22*E22,2))</f>
      </c>
      <c r="G22" s="19">
        <v>0</v>
      </c>
      <c r="H22" s="22">
        <f>IF(F22="","",ROUND((F22-G22)*0.15,2))</f>
      </c>
      <c r="I22" s="22">
        <f>IF(F22="","",ROUND(F22-G22+H22,2))</f>
      </c>
    </row>
    <row r="23" ht="20" customHeight="1" spans="1:9" x14ac:dyDescent="0.25">
      <c r="A23" s="17">
        <v>10</v>
      </c>
      <c r="B23" s="18" t="s">
        <v>10</v>
      </c>
      <c r="C23" s="19"/>
      <c r="D23" s="20" t="s">
        <v>26</v>
      </c>
      <c r="E23" s="21"/>
      <c r="F23" s="22">
        <f>IF(OR(C23="",E23=""),"",ROUND(C23*E23,2))</f>
      </c>
      <c r="G23" s="19">
        <v>0</v>
      </c>
      <c r="H23" s="22">
        <f>IF(F23="","",ROUND((F23-G23)*0.15,2))</f>
      </c>
      <c r="I23" s="22">
        <f>IF(F23="","",ROUND(F23-G23+H23,2))</f>
      </c>
    </row>
    <row r="24" ht="20" customHeight="1" spans="1:9" x14ac:dyDescent="0.25">
      <c r="A24" s="17">
        <v>11</v>
      </c>
      <c r="B24" s="18" t="s">
        <v>10</v>
      </c>
      <c r="C24" s="19"/>
      <c r="D24" s="20" t="s">
        <v>26</v>
      </c>
      <c r="E24" s="21"/>
      <c r="F24" s="22">
        <f>IF(OR(C24="",E24=""),"",ROUND(C24*E24,2))</f>
      </c>
      <c r="G24" s="19">
        <v>0</v>
      </c>
      <c r="H24" s="22">
        <f>IF(F24="","",ROUND((F24-G24)*0.15,2))</f>
      </c>
      <c r="I24" s="22">
        <f>IF(F24="","",ROUND(F24-G24+H24,2))</f>
      </c>
    </row>
    <row r="25" ht="20" customHeight="1" spans="1:9" x14ac:dyDescent="0.25">
      <c r="A25" s="17">
        <v>12</v>
      </c>
      <c r="B25" s="18" t="s">
        <v>10</v>
      </c>
      <c r="C25" s="19"/>
      <c r="D25" s="20" t="s">
        <v>26</v>
      </c>
      <c r="E25" s="21"/>
      <c r="F25" s="22">
        <f>IF(OR(C25="",E25=""),"",ROUND(C25*E25,2))</f>
      </c>
      <c r="G25" s="19">
        <v>0</v>
      </c>
      <c r="H25" s="22">
        <f>IF(F25="","",ROUND((F25-G25)*0.15,2))</f>
      </c>
      <c r="I25" s="22">
        <f>IF(F25="","",ROUND(F25-G25+H25,2))</f>
      </c>
    </row>
    <row r="26" ht="20" customHeight="1" spans="1:9" x14ac:dyDescent="0.25">
      <c r="A26" s="17">
        <v>13</v>
      </c>
      <c r="B26" s="18" t="s">
        <v>10</v>
      </c>
      <c r="C26" s="19"/>
      <c r="D26" s="20" t="s">
        <v>26</v>
      </c>
      <c r="E26" s="21"/>
      <c r="F26" s="22">
        <f>IF(OR(C26="",E26=""),"",ROUND(C26*E26,2))</f>
      </c>
      <c r="G26" s="19">
        <v>0</v>
      </c>
      <c r="H26" s="22">
        <f>IF(F26="","",ROUND((F26-G26)*0.15,2))</f>
      </c>
      <c r="I26" s="22">
        <f>IF(F26="","",ROUND(F26-G26+H26,2))</f>
      </c>
    </row>
    <row r="27" ht="20" customHeight="1" spans="1:9" x14ac:dyDescent="0.25">
      <c r="A27" s="17">
        <v>14</v>
      </c>
      <c r="B27" s="18" t="s">
        <v>10</v>
      </c>
      <c r="C27" s="19"/>
      <c r="D27" s="20" t="s">
        <v>26</v>
      </c>
      <c r="E27" s="21"/>
      <c r="F27" s="22">
        <f>IF(OR(C27="",E27=""),"",ROUND(C27*E27,2))</f>
      </c>
      <c r="G27" s="19">
        <v>0</v>
      </c>
      <c r="H27" s="22">
        <f>IF(F27="","",ROUND((F27-G27)*0.15,2))</f>
      </c>
      <c r="I27" s="22">
        <f>IF(F27="","",ROUND(F27-G27+H27,2))</f>
      </c>
    </row>
    <row r="28" ht="20" customHeight="1" spans="1:9" x14ac:dyDescent="0.25">
      <c r="A28" s="17">
        <v>15</v>
      </c>
      <c r="B28" s="18" t="s">
        <v>10</v>
      </c>
      <c r="C28" s="19"/>
      <c r="D28" s="20" t="s">
        <v>26</v>
      </c>
      <c r="E28" s="21"/>
      <c r="F28" s="22">
        <f>IF(OR(C28="",E28=""),"",ROUND(C28*E28,2))</f>
      </c>
      <c r="G28" s="19">
        <v>0</v>
      </c>
      <c r="H28" s="22">
        <f>IF(F28="","",ROUND((F28-G28)*0.15,2))</f>
      </c>
      <c r="I28" s="22">
        <f>IF(F28="","",ROUND(F28-G28+H28,2))</f>
      </c>
    </row>
    <row r="30" spans="1:9" x14ac:dyDescent="0.25">
      <c r="A30" s="10">
        <f>"إجمالي الكميات: " &amp; TEXT(SUM(C14:C28), "#,##0.00")</f>
      </c>
      <c r="B30" s="10"/>
      <c r="C30" s="10"/>
      <c r="D30" s="10"/>
      <c r="E30" s="23" t="s">
        <v>27</v>
      </c>
      <c r="F30" s="23"/>
      <c r="G30" s="23"/>
      <c r="H30" s="24">
        <f>SUM(F14:F28)</f>
      </c>
      <c r="I30" s="24"/>
    </row>
    <row r="31" spans="1:9" x14ac:dyDescent="0.25">
      <c r="A31" s="25" t="s">
        <v>28</v>
      </c>
      <c r="B31" s="25"/>
      <c r="C31" s="25"/>
      <c r="D31" s="25"/>
      <c r="E31" s="23" t="s">
        <v>29</v>
      </c>
      <c r="F31" s="23"/>
      <c r="G31" s="23"/>
      <c r="H31" s="24">
        <f>SUM(G14:G28)</f>
      </c>
      <c r="I31" s="24"/>
    </row>
    <row r="32" spans="1:9" x14ac:dyDescent="0.25">
      <c r="A32" s="26" t="s">
        <v>30</v>
      </c>
      <c r="B32" s="26"/>
      <c r="C32" s="26"/>
      <c r="D32" s="26"/>
      <c r="E32" s="23" t="s">
        <v>31</v>
      </c>
      <c r="F32" s="23"/>
      <c r="G32" s="23"/>
      <c r="H32" s="24">
        <f>SUM(H14:H28)</f>
      </c>
      <c r="I32" s="24"/>
    </row>
    <row r="33" spans="1:9" x14ac:dyDescent="0.25">
      <c r="A33" s="27" t="s">
        <v>32</v>
      </c>
      <c r="B33" s="27"/>
      <c r="C33" s="27"/>
      <c r="D33" s="27"/>
      <c r="E33" s="23" t="s">
        <v>33</v>
      </c>
      <c r="F33" s="23"/>
      <c r="G33" s="23"/>
      <c r="H33" s="24">
        <f>H30-H31+H32</f>
      </c>
      <c r="I33" s="24"/>
    </row>
    <row r="34" spans="1:9" x14ac:dyDescent="0.25">
      <c r="A34" s="27"/>
      <c r="B34" s="27"/>
      <c r="C34" s="27"/>
      <c r="D34" s="27"/>
      <c r="E34" s="23" t="s">
        <v>34</v>
      </c>
      <c r="F34" s="23"/>
      <c r="G34" s="23"/>
      <c r="H34" s="24">
        <v>0</v>
      </c>
      <c r="I34" s="24"/>
    </row>
    <row r="35" spans="5:9" x14ac:dyDescent="0.25">
      <c r="E35" s="28" t="s">
        <v>35</v>
      </c>
      <c r="F35" s="28"/>
      <c r="G35" s="28"/>
      <c r="H35" s="29">
        <f>H33-H34</f>
      </c>
      <c r="I35" s="29"/>
    </row>
    <row r="37" spans="1:9" x14ac:dyDescent="0.25">
      <c r="A37" s="30" t="s">
        <v>36</v>
      </c>
      <c r="B37" s="30"/>
      <c r="C37" s="30"/>
      <c r="D37" s="30"/>
      <c r="E37" s="30"/>
      <c r="F37" s="30"/>
      <c r="G37" s="30"/>
      <c r="H37" s="30"/>
      <c r="I37" s="30"/>
    </row>
  </sheetData>
  <mergeCells count="35">
    <mergeCell ref="A2:B2"/>
    <mergeCell ref="C2:G3"/>
    <mergeCell ref="H2:I2"/>
    <mergeCell ref="A3:B3"/>
    <mergeCell ref="H3:I3"/>
    <mergeCell ref="A4:B4"/>
    <mergeCell ref="H4:I4"/>
    <mergeCell ref="H5:I5"/>
    <mergeCell ref="G6:I6"/>
    <mergeCell ref="A8:B8"/>
    <mergeCell ref="C8:F8"/>
    <mergeCell ref="H8:I8"/>
    <mergeCell ref="B9:C9"/>
    <mergeCell ref="E9:I9"/>
    <mergeCell ref="B10:C10"/>
    <mergeCell ref="E10:I10"/>
    <mergeCell ref="B11:C11"/>
    <mergeCell ref="D11:I11"/>
    <mergeCell ref="A30:D30"/>
    <mergeCell ref="E30:G30"/>
    <mergeCell ref="H30:I30"/>
    <mergeCell ref="A31:D31"/>
    <mergeCell ref="E31:G31"/>
    <mergeCell ref="H31:I31"/>
    <mergeCell ref="A32:D32"/>
    <mergeCell ref="E32:G32"/>
    <mergeCell ref="H32:I32"/>
    <mergeCell ref="A33:D34"/>
    <mergeCell ref="E33:G33"/>
    <mergeCell ref="H33:I33"/>
    <mergeCell ref="E34:G34"/>
    <mergeCell ref="H34:I34"/>
    <mergeCell ref="E35:G35"/>
    <mergeCell ref="H35:I35"/>
    <mergeCell ref="A37:I37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3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30" customWidth="1"/>
    <col min="3" max="3" width="10" customWidth="1"/>
    <col min="5" max="5" width="13" customWidth="1"/>
    <col min="6" max="6" width="15" customWidth="1"/>
    <col min="7" max="7" width="10" customWidth="1"/>
    <col min="8" max="8" width="13" customWidth="1"/>
    <col min="9" max="9" width="16" customWidth="1"/>
  </cols>
  <sheetData>
    <row r="2" spans="1:9" x14ac:dyDescent="0.25">
      <c r="A2" s="1" t="s">
        <v>0</v>
      </c>
      <c r="B2" s="1"/>
      <c r="C2" s="2" t="s">
        <v>1</v>
      </c>
      <c r="D2" s="2"/>
      <c r="E2" s="2"/>
      <c r="F2" s="2"/>
      <c r="G2" s="2"/>
      <c r="H2" s="3" t="s">
        <v>2</v>
      </c>
      <c r="I2" s="3"/>
    </row>
    <row r="3" spans="1:9" x14ac:dyDescent="0.25">
      <c r="A3" s="4" t="s">
        <v>3</v>
      </c>
      <c r="B3" s="4"/>
      <c r="C3" s="2"/>
      <c r="D3" s="2"/>
      <c r="E3" s="2"/>
      <c r="F3" s="2"/>
      <c r="G3" s="2"/>
      <c r="H3" s="5" t="s">
        <v>4</v>
      </c>
      <c r="I3" s="5"/>
    </row>
    <row r="4" spans="1:9" x14ac:dyDescent="0.25">
      <c r="A4" s="6" t="s">
        <v>5</v>
      </c>
      <c r="B4" s="6"/>
      <c r="H4" s="7" t="s">
        <v>6</v>
      </c>
      <c r="I4" s="7"/>
    </row>
    <row r="5" spans="8:9" x14ac:dyDescent="0.25">
      <c r="H5" s="8" t="s">
        <v>7</v>
      </c>
      <c r="I5" s="8"/>
    </row>
    <row r="6" ht="22" customHeight="1" spans="7:9" x14ac:dyDescent="0.25">
      <c r="G6" s="9" t="s">
        <v>37</v>
      </c>
      <c r="H6" s="9"/>
      <c r="I6" s="9"/>
    </row>
    <row r="8" spans="1:9" x14ac:dyDescent="0.25">
      <c r="A8" s="10" t="s">
        <v>9</v>
      </c>
      <c r="B8" s="10"/>
      <c r="C8" s="31" t="s">
        <v>38</v>
      </c>
      <c r="D8" s="31"/>
      <c r="E8" s="31"/>
      <c r="F8" s="31"/>
      <c r="G8" s="12" t="s">
        <v>11</v>
      </c>
      <c r="H8" s="17" t="s">
        <v>39</v>
      </c>
      <c r="I8" s="17"/>
    </row>
    <row r="9" spans="1:9" x14ac:dyDescent="0.25">
      <c r="A9" s="14" t="s">
        <v>12</v>
      </c>
      <c r="B9" s="15" t="s">
        <v>40</v>
      </c>
      <c r="C9" s="15"/>
      <c r="D9" s="14" t="s">
        <v>13</v>
      </c>
      <c r="E9" s="15" t="s">
        <v>41</v>
      </c>
      <c r="F9" s="15"/>
      <c r="G9" s="15"/>
      <c r="H9" s="15"/>
      <c r="I9" s="15"/>
    </row>
    <row r="10" spans="1:9" x14ac:dyDescent="0.25">
      <c r="A10" s="14" t="s">
        <v>14</v>
      </c>
      <c r="B10" s="15" t="s">
        <v>42</v>
      </c>
      <c r="C10" s="15"/>
      <c r="D10" s="14" t="s">
        <v>15</v>
      </c>
      <c r="E10" s="15" t="s">
        <v>43</v>
      </c>
      <c r="F10" s="15"/>
      <c r="G10" s="15"/>
      <c r="H10" s="15"/>
      <c r="I10" s="15"/>
    </row>
    <row r="11" spans="1:9" x14ac:dyDescent="0.25">
      <c r="A11" s="14" t="s">
        <v>16</v>
      </c>
      <c r="B11" s="15" t="s">
        <v>44</v>
      </c>
      <c r="C11" s="15"/>
      <c r="D11" s="15" t="s">
        <v>45</v>
      </c>
      <c r="E11" s="15"/>
      <c r="F11" s="15"/>
      <c r="G11" s="15"/>
      <c r="H11" s="15"/>
      <c r="I11" s="15"/>
    </row>
    <row r="13" ht="28" customHeight="1" spans="1:9" x14ac:dyDescent="0.25">
      <c r="A13" s="16" t="s">
        <v>17</v>
      </c>
      <c r="B13" s="16" t="s">
        <v>18</v>
      </c>
      <c r="C13" s="16" t="s">
        <v>19</v>
      </c>
      <c r="D13" s="16" t="s">
        <v>20</v>
      </c>
      <c r="E13" s="16" t="s">
        <v>21</v>
      </c>
      <c r="F13" s="16" t="s">
        <v>22</v>
      </c>
      <c r="G13" s="16" t="s">
        <v>23</v>
      </c>
      <c r="H13" s="16" t="s">
        <v>24</v>
      </c>
      <c r="I13" s="16" t="s">
        <v>25</v>
      </c>
    </row>
    <row r="14" ht="20" customHeight="1" spans="1:9" x14ac:dyDescent="0.25">
      <c r="A14" s="17">
        <v>1</v>
      </c>
      <c r="B14" s="32" t="s">
        <v>46</v>
      </c>
      <c r="C14" s="33">
        <v>3</v>
      </c>
      <c r="D14" s="17" t="s">
        <v>26</v>
      </c>
      <c r="E14" s="22">
        <v>2725</v>
      </c>
      <c r="F14" s="22">
        <f>IF(OR(C14="",E14=""),"",ROUND(C14*E14,2))</f>
      </c>
      <c r="G14" s="33">
        <v>0</v>
      </c>
      <c r="H14" s="22">
        <f>IF(F14="","",ROUND((F14-G14)*0.15,2))</f>
      </c>
      <c r="I14" s="22">
        <f>IF(F14="","",ROUND(F14-G14+H14,2))</f>
      </c>
    </row>
    <row r="15" ht="20" customHeight="1" spans="1:9" x14ac:dyDescent="0.25">
      <c r="A15" s="17">
        <v>2</v>
      </c>
      <c r="B15" s="32" t="s">
        <v>47</v>
      </c>
      <c r="C15" s="33">
        <v>5</v>
      </c>
      <c r="D15" s="17" t="s">
        <v>26</v>
      </c>
      <c r="E15" s="22">
        <v>2700</v>
      </c>
      <c r="F15" s="22">
        <f>IF(OR(C15="",E15=""),"",ROUND(C15*E15,2))</f>
      </c>
      <c r="G15" s="33">
        <v>0</v>
      </c>
      <c r="H15" s="22">
        <f>IF(F15="","",ROUND((F15-G15)*0.15,2))</f>
      </c>
      <c r="I15" s="22">
        <f>IF(F15="","",ROUND(F15-G15+H15,2))</f>
      </c>
    </row>
    <row r="16" ht="20" customHeight="1" spans="1:9" x14ac:dyDescent="0.25">
      <c r="A16" s="17">
        <v>3</v>
      </c>
      <c r="B16" s="32" t="s">
        <v>48</v>
      </c>
      <c r="C16" s="33">
        <v>6</v>
      </c>
      <c r="D16" s="17" t="s">
        <v>26</v>
      </c>
      <c r="E16" s="22">
        <v>2725</v>
      </c>
      <c r="F16" s="22">
        <f>IF(OR(C16="",E16=""),"",ROUND(C16*E16,2))</f>
      </c>
      <c r="G16" s="33">
        <v>0</v>
      </c>
      <c r="H16" s="22">
        <f>IF(F16="","",ROUND((F16-G16)*0.15,2))</f>
      </c>
      <c r="I16" s="22">
        <f>IF(F16="","",ROUND(F16-G16+H16,2))</f>
      </c>
    </row>
    <row r="17" ht="20" customHeight="1" spans="1:9" x14ac:dyDescent="0.25">
      <c r="A17" s="17">
        <v>4</v>
      </c>
      <c r="B17" s="32" t="s">
        <v>49</v>
      </c>
      <c r="C17" s="33">
        <v>427</v>
      </c>
      <c r="D17" s="17" t="s">
        <v>50</v>
      </c>
      <c r="E17" s="22">
        <v>14.01</v>
      </c>
      <c r="F17" s="22">
        <f>IF(OR(C17="",E17=""),"",ROUND(C17*E17,2))</f>
      </c>
      <c r="G17" s="33">
        <v>0</v>
      </c>
      <c r="H17" s="22">
        <f>IF(F17="","",ROUND((F17-G17)*0.15,2))</f>
      </c>
      <c r="I17" s="22">
        <f>IF(F17="","",ROUND(F17-G17+H17,2))</f>
      </c>
    </row>
    <row r="18" ht="20" customHeight="1" spans="1:9" x14ac:dyDescent="0.25">
      <c r="A18" s="17">
        <v>5</v>
      </c>
      <c r="B18" s="32" t="s">
        <v>51</v>
      </c>
      <c r="C18" s="33">
        <v>5</v>
      </c>
      <c r="D18" s="17" t="s">
        <v>26</v>
      </c>
      <c r="E18" s="22">
        <v>3929</v>
      </c>
      <c r="F18" s="22">
        <f>IF(OR(C18="",E18=""),"",ROUND(C18*E18,2))</f>
      </c>
      <c r="G18" s="33">
        <v>0</v>
      </c>
      <c r="H18" s="22">
        <f>IF(F18="","",ROUND((F18-G18)*0.15,2))</f>
      </c>
      <c r="I18" s="22">
        <f>IF(F18="","",ROUND(F18-G18+H18,2))</f>
      </c>
    </row>
    <row r="19" ht="20" customHeight="1" spans="1:9" x14ac:dyDescent="0.25">
      <c r="A19" s="17">
        <v>6</v>
      </c>
      <c r="B19" s="32" t="s">
        <v>10</v>
      </c>
      <c r="C19" s="33"/>
      <c r="D19" s="17" t="s">
        <v>10</v>
      </c>
      <c r="E19" s="22"/>
      <c r="F19" s="22">
        <f>IF(OR(C19="",E19=""),"",ROUND(C19*E19,2))</f>
      </c>
      <c r="G19" s="33">
        <v>0</v>
      </c>
      <c r="H19" s="22">
        <f>IF(F19="","",ROUND((F19-G19)*0.15,2))</f>
      </c>
      <c r="I19" s="22">
        <f>IF(F19="","",ROUND(F19-G19+H19,2))</f>
      </c>
    </row>
    <row r="20" ht="20" customHeight="1" spans="1:9" x14ac:dyDescent="0.25">
      <c r="A20" s="17">
        <v>7</v>
      </c>
      <c r="B20" s="32" t="s">
        <v>10</v>
      </c>
      <c r="C20" s="33"/>
      <c r="D20" s="17" t="s">
        <v>10</v>
      </c>
      <c r="E20" s="22"/>
      <c r="F20" s="22">
        <f>IF(OR(C20="",E20=""),"",ROUND(C20*E20,2))</f>
      </c>
      <c r="G20" s="33">
        <v>0</v>
      </c>
      <c r="H20" s="22">
        <f>IF(F20="","",ROUND((F20-G20)*0.15,2))</f>
      </c>
      <c r="I20" s="22">
        <f>IF(F20="","",ROUND(F20-G20+H20,2))</f>
      </c>
    </row>
    <row r="21" ht="20" customHeight="1" spans="1:9" x14ac:dyDescent="0.25">
      <c r="A21" s="17">
        <v>8</v>
      </c>
      <c r="B21" s="32" t="s">
        <v>10</v>
      </c>
      <c r="C21" s="33"/>
      <c r="D21" s="17" t="s">
        <v>10</v>
      </c>
      <c r="E21" s="22"/>
      <c r="F21" s="22">
        <f>IF(OR(C21="",E21=""),"",ROUND(C21*E21,2))</f>
      </c>
      <c r="G21" s="33">
        <v>0</v>
      </c>
      <c r="H21" s="22">
        <f>IF(F21="","",ROUND((F21-G21)*0.15,2))</f>
      </c>
      <c r="I21" s="22">
        <f>IF(F21="","",ROUND(F21-G21+H21,2))</f>
      </c>
    </row>
    <row r="22" ht="20" customHeight="1" spans="1:9" x14ac:dyDescent="0.25">
      <c r="A22" s="17">
        <v>9</v>
      </c>
      <c r="B22" s="32" t="s">
        <v>10</v>
      </c>
      <c r="C22" s="33"/>
      <c r="D22" s="17" t="s">
        <v>10</v>
      </c>
      <c r="E22" s="22"/>
      <c r="F22" s="22">
        <f>IF(OR(C22="",E22=""),"",ROUND(C22*E22,2))</f>
      </c>
      <c r="G22" s="33">
        <v>0</v>
      </c>
      <c r="H22" s="22">
        <f>IF(F22="","",ROUND((F22-G22)*0.15,2))</f>
      </c>
      <c r="I22" s="22">
        <f>IF(F22="","",ROUND(F22-G22+H22,2))</f>
      </c>
    </row>
    <row r="23" ht="20" customHeight="1" spans="1:9" x14ac:dyDescent="0.25">
      <c r="A23" s="17">
        <v>10</v>
      </c>
      <c r="B23" s="32" t="s">
        <v>10</v>
      </c>
      <c r="C23" s="33"/>
      <c r="D23" s="17" t="s">
        <v>10</v>
      </c>
      <c r="E23" s="22"/>
      <c r="F23" s="22">
        <f>IF(OR(C23="",E23=""),"",ROUND(C23*E23,2))</f>
      </c>
      <c r="G23" s="33">
        <v>0</v>
      </c>
      <c r="H23" s="22">
        <f>IF(F23="","",ROUND((F23-G23)*0.15,2))</f>
      </c>
      <c r="I23" s="22">
        <f>IF(F23="","",ROUND(F23-G23+H23,2))</f>
      </c>
    </row>
    <row r="24" ht="20" customHeight="1" spans="1:9" x14ac:dyDescent="0.25">
      <c r="A24" s="17">
        <v>11</v>
      </c>
      <c r="B24" s="32" t="s">
        <v>10</v>
      </c>
      <c r="C24" s="33"/>
      <c r="D24" s="17" t="s">
        <v>10</v>
      </c>
      <c r="E24" s="22"/>
      <c r="F24" s="22">
        <f>IF(OR(C24="",E24=""),"",ROUND(C24*E24,2))</f>
      </c>
      <c r="G24" s="33">
        <v>0</v>
      </c>
      <c r="H24" s="22">
        <f>IF(F24="","",ROUND((F24-G24)*0.15,2))</f>
      </c>
      <c r="I24" s="22">
        <f>IF(F24="","",ROUND(F24-G24+H24,2))</f>
      </c>
    </row>
    <row r="25" ht="20" customHeight="1" spans="1:9" x14ac:dyDescent="0.25">
      <c r="A25" s="17">
        <v>12</v>
      </c>
      <c r="B25" s="32" t="s">
        <v>10</v>
      </c>
      <c r="C25" s="33"/>
      <c r="D25" s="17" t="s">
        <v>10</v>
      </c>
      <c r="E25" s="22"/>
      <c r="F25" s="22">
        <f>IF(OR(C25="",E25=""),"",ROUND(C25*E25,2))</f>
      </c>
      <c r="G25" s="33">
        <v>0</v>
      </c>
      <c r="H25" s="22">
        <f>IF(F25="","",ROUND((F25-G25)*0.15,2))</f>
      </c>
      <c r="I25" s="22">
        <f>IF(F25="","",ROUND(F25-G25+H25,2))</f>
      </c>
    </row>
    <row r="26" ht="20" customHeight="1" spans="1:9" x14ac:dyDescent="0.25">
      <c r="A26" s="17">
        <v>13</v>
      </c>
      <c r="B26" s="32" t="s">
        <v>10</v>
      </c>
      <c r="C26" s="33"/>
      <c r="D26" s="17" t="s">
        <v>10</v>
      </c>
      <c r="E26" s="22"/>
      <c r="F26" s="22">
        <f>IF(OR(C26="",E26=""),"",ROUND(C26*E26,2))</f>
      </c>
      <c r="G26" s="33">
        <v>0</v>
      </c>
      <c r="H26" s="22">
        <f>IF(F26="","",ROUND((F26-G26)*0.15,2))</f>
      </c>
      <c r="I26" s="22">
        <f>IF(F26="","",ROUND(F26-G26+H26,2))</f>
      </c>
    </row>
    <row r="27" ht="20" customHeight="1" spans="1:9" x14ac:dyDescent="0.25">
      <c r="A27" s="17">
        <v>14</v>
      </c>
      <c r="B27" s="32" t="s">
        <v>10</v>
      </c>
      <c r="C27" s="33"/>
      <c r="D27" s="17" t="s">
        <v>10</v>
      </c>
      <c r="E27" s="22"/>
      <c r="F27" s="22">
        <f>IF(OR(C27="",E27=""),"",ROUND(C27*E27,2))</f>
      </c>
      <c r="G27" s="33">
        <v>0</v>
      </c>
      <c r="H27" s="22">
        <f>IF(F27="","",ROUND((F27-G27)*0.15,2))</f>
      </c>
      <c r="I27" s="22">
        <f>IF(F27="","",ROUND(F27-G27+H27,2))</f>
      </c>
    </row>
    <row r="28" ht="20" customHeight="1" spans="1:9" x14ac:dyDescent="0.25">
      <c r="A28" s="17">
        <v>15</v>
      </c>
      <c r="B28" s="32" t="s">
        <v>10</v>
      </c>
      <c r="C28" s="33"/>
      <c r="D28" s="17" t="s">
        <v>10</v>
      </c>
      <c r="E28" s="22"/>
      <c r="F28" s="22">
        <f>IF(OR(C28="",E28=""),"",ROUND(C28*E28,2))</f>
      </c>
      <c r="G28" s="33">
        <v>0</v>
      </c>
      <c r="H28" s="22">
        <f>IF(F28="","",ROUND((F28-G28)*0.15,2))</f>
      </c>
      <c r="I28" s="22">
        <f>IF(F28="","",ROUND(F28-G28+H28,2))</f>
      </c>
    </row>
    <row r="30" spans="1:9" x14ac:dyDescent="0.25">
      <c r="A30" s="10">
        <f>"إجمالي الكميات: " &amp; TEXT(SUM(C14:C28), "#,##0.00")</f>
      </c>
      <c r="B30" s="10"/>
      <c r="C30" s="10"/>
      <c r="D30" s="10"/>
      <c r="E30" s="23" t="s">
        <v>27</v>
      </c>
      <c r="F30" s="23"/>
      <c r="G30" s="23"/>
      <c r="H30" s="24">
        <f>SUM(F14:F28)</f>
      </c>
      <c r="I30" s="24"/>
    </row>
    <row r="31" spans="1:9" x14ac:dyDescent="0.25">
      <c r="A31" s="25" t="s">
        <v>28</v>
      </c>
      <c r="B31" s="25"/>
      <c r="C31" s="25"/>
      <c r="D31" s="25"/>
      <c r="E31" s="23" t="s">
        <v>29</v>
      </c>
      <c r="F31" s="23"/>
      <c r="G31" s="23"/>
      <c r="H31" s="24">
        <f>SUM(G14:G28)</f>
      </c>
      <c r="I31" s="24"/>
    </row>
    <row r="32" spans="1:9" x14ac:dyDescent="0.25">
      <c r="A32" s="26" t="s">
        <v>30</v>
      </c>
      <c r="B32" s="26"/>
      <c r="C32" s="26"/>
      <c r="D32" s="26"/>
      <c r="E32" s="23" t="s">
        <v>31</v>
      </c>
      <c r="F32" s="23"/>
      <c r="G32" s="23"/>
      <c r="H32" s="24">
        <f>SUM(H14:H28)</f>
      </c>
      <c r="I32" s="24"/>
    </row>
    <row r="33" spans="1:9" x14ac:dyDescent="0.25">
      <c r="A33" s="27" t="s">
        <v>52</v>
      </c>
      <c r="B33" s="27"/>
      <c r="C33" s="27"/>
      <c r="D33" s="27"/>
      <c r="E33" s="23" t="s">
        <v>33</v>
      </c>
      <c r="F33" s="23"/>
      <c r="G33" s="23"/>
      <c r="H33" s="24">
        <f>H30-H31+H32</f>
      </c>
      <c r="I33" s="24"/>
    </row>
    <row r="34" spans="1:9" x14ac:dyDescent="0.25">
      <c r="A34" s="27"/>
      <c r="B34" s="27"/>
      <c r="C34" s="27"/>
      <c r="D34" s="27"/>
      <c r="E34" s="23" t="s">
        <v>34</v>
      </c>
      <c r="F34" s="23"/>
      <c r="G34" s="23"/>
      <c r="H34" s="24">
        <v>0</v>
      </c>
      <c r="I34" s="24"/>
    </row>
    <row r="35" spans="5:9" x14ac:dyDescent="0.25">
      <c r="E35" s="28" t="s">
        <v>35</v>
      </c>
      <c r="F35" s="28"/>
      <c r="G35" s="28"/>
      <c r="H35" s="29">
        <f>H33-H34</f>
      </c>
      <c r="I35" s="29"/>
    </row>
    <row r="37" spans="1:9" x14ac:dyDescent="0.25">
      <c r="A37" s="30" t="s">
        <v>36</v>
      </c>
      <c r="B37" s="30"/>
      <c r="C37" s="30"/>
      <c r="D37" s="30"/>
      <c r="E37" s="30"/>
      <c r="F37" s="30"/>
      <c r="G37" s="30"/>
      <c r="H37" s="30"/>
      <c r="I37" s="30"/>
    </row>
  </sheetData>
  <mergeCells count="35">
    <mergeCell ref="A2:B2"/>
    <mergeCell ref="C2:G3"/>
    <mergeCell ref="H2:I2"/>
    <mergeCell ref="A3:B3"/>
    <mergeCell ref="H3:I3"/>
    <mergeCell ref="A4:B4"/>
    <mergeCell ref="H4:I4"/>
    <mergeCell ref="H5:I5"/>
    <mergeCell ref="G6:I6"/>
    <mergeCell ref="A8:B8"/>
    <mergeCell ref="C8:F8"/>
    <mergeCell ref="H8:I8"/>
    <mergeCell ref="B9:C9"/>
    <mergeCell ref="E9:I9"/>
    <mergeCell ref="B10:C10"/>
    <mergeCell ref="E10:I10"/>
    <mergeCell ref="B11:C11"/>
    <mergeCell ref="D11:I11"/>
    <mergeCell ref="A30:D30"/>
    <mergeCell ref="E30:G30"/>
    <mergeCell ref="H30:I30"/>
    <mergeCell ref="A31:D31"/>
    <mergeCell ref="E31:G31"/>
    <mergeCell ref="H31:I31"/>
    <mergeCell ref="A32:D32"/>
    <mergeCell ref="E32:G32"/>
    <mergeCell ref="H32:I32"/>
    <mergeCell ref="A33:D34"/>
    <mergeCell ref="E33:G33"/>
    <mergeCell ref="H33:I33"/>
    <mergeCell ref="E34:G34"/>
    <mergeCell ref="H34:I34"/>
    <mergeCell ref="E35:G35"/>
    <mergeCell ref="H35:I35"/>
    <mergeCell ref="A37:I37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