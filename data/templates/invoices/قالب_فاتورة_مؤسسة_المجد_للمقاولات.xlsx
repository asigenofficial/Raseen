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<sst xmlns="http://schemas.openxmlformats.org/spreadsheetml/2006/main" count="166" uniqueCount="43">
  <si>
    <t>فاتورة مبيعات ضريبية  |  TAX SALES INVOICE</t>
  </si>
  <si>
    <t>رقم الفاتورة : INVOICE NO [................]</t>
  </si>
  <si>
    <t xml:space="preserve">التاريخ: </t>
  </si>
  <si>
    <t xml:space="preserve">تاريخ الاستحقاق: </t>
  </si>
  <si>
    <t>المخزن: المخزن الرئيسي</t>
  </si>
  <si>
    <t>نوع الفاتورة: أجل</t>
  </si>
  <si>
    <t>طريقة الدفع: أجل</t>
  </si>
  <si>
    <t>اسم البائع: admin</t>
  </si>
  <si>
    <t>فاتورة من  |  INVOICE FROM</t>
  </si>
  <si>
    <t>فاتورة الى  |  INVOICE TO</t>
  </si>
  <si>
    <t>اسم المورد:</t>
  </si>
  <si>
    <t>مؤسسة المجد للمقاولات</t>
  </si>
  <si>
    <t>اسم العميل:</t>
  </si>
  <si>
    <t/>
  </si>
  <si>
    <t>الرقم الضريبي للمورد:</t>
  </si>
  <si>
    <t>300799366500003</t>
  </si>
  <si>
    <t>الرقم الضريبي للعميل:</t>
  </si>
  <si>
    <t>عنوان المورد:</t>
  </si>
  <si>
    <t>المدينة المنورة-العمق-الشارع الرئيسي</t>
  </si>
  <si>
    <t>عنوان العميل:</t>
  </si>
  <si>
    <t>سجل تجاري:</t>
  </si>
  <si>
    <t>4656000027</t>
  </si>
  <si>
    <t>هاتف العميل:</t>
  </si>
  <si>
    <t xml:space="preserve">كود الصنف
ITEM CODE</t>
  </si>
  <si>
    <t xml:space="preserve">اسم الصنف
ITEM NAME</t>
  </si>
  <si>
    <t xml:space="preserve">الكمية
QUANTITY</t>
  </si>
  <si>
    <t xml:space="preserve">سعر الوحدة
UNIT PRICE</t>
  </si>
  <si>
    <t xml:space="preserve">الإجمالي
TOTAL</t>
  </si>
  <si>
    <t xml:space="preserve">ملاحظات الصنف
Item Notes</t>
  </si>
  <si>
    <t>الإجمالي (غير شامل ضريبة القيمة المضافة)</t>
  </si>
  <si>
    <t>اجمالي الخصومات</t>
  </si>
  <si>
    <t>الإجمالي الخاضع للضريبة (غير شامل الضريبة)</t>
  </si>
  <si>
    <t>ضريبة القيمة المضافة 15%</t>
  </si>
  <si>
    <t>الصافي بعد الضريبة</t>
  </si>
  <si>
    <t>صفحة 1 / 1  |  المدينة المنورة - العمق - الشارع الرئيسي  |  نظام إدارة الفواتير</t>
  </si>
  <si>
    <t>رقم الفاتورة : INVOICE NO 05295</t>
  </si>
  <si>
    <t>التاريخ: 2025-01-05</t>
  </si>
  <si>
    <t>تاريخ الاستحقاق: 2025-01-05</t>
  </si>
  <si>
    <t>مؤسسة خالد بن علي بن سعيد الزهراني للمقاولات</t>
  </si>
  <si>
    <t>311676045200003</t>
  </si>
  <si>
    <t>المملكة العربية السعودية</t>
  </si>
  <si>
    <t>36</t>
  </si>
  <si>
    <t>توريد وتركيب هياكل معدنية وفريمات حديد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</si>
</sst>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1F4E79"/>
      <sz val="12"/>
      <name val="Calibri"/>
    </font>
    <font>
      <b/>
      <sz val="9"/>
      <name val="Calibri"/>
    </font>
    <font>
      <b/>
      <color rgb="FFFFFFFF"/>
      <sz val="10"/>
      <name val="Calibri"/>
    </font>
    <font>
      <sz val="9"/>
      <name val="Calibri"/>
    </font>
    <font>
      <b/>
      <color rgb="FF1F4E79"/>
      <sz val="9"/>
      <name val="Calibri"/>
    </font>
    <font>
      <b/>
      <color rgb="FF1F4E79"/>
      <sz val="11"/>
      <name val="Calibri"/>
    </font>
    <font>
      <i/>
      <color rgb="FF7F7F7F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333333"/>
      </patternFill>
    </fill>
    <fill>
      <patternFill patternType="solid">
        <fgColor rgb="FFFFFAF0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right" vertical="center"/>
    </xf>
    <xf numFmtId="4" fontId="5" fillId="8" borderId="2" xfId="0" applyNumberFormat="1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4" fontId="7" fillId="3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29</xdr:row>
      <xdr:rowOff>90000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29</xdr:row>
      <xdr:rowOff>90000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34" customWidth="1"/>
    <col min="3" max="3" width="13" customWidth="1"/>
    <col min="4" max="4" width="15" customWidth="1"/>
    <col min="5" max="5" width="18" customWidth="1"/>
    <col min="6" max="6" width="22" customWidth="1"/>
  </cols>
  <sheetData>
    <row r="2" ht="32" customHeight="1" spans="1:6" x14ac:dyDescent="0.25">
      <c r="A2" s="1" t="s">
        <v>0</v>
      </c>
      <c r="B2" s="1"/>
      <c r="C2" s="1"/>
      <c r="D2" s="1"/>
      <c r="E2" s="1"/>
      <c r="F2" s="1"/>
    </row>
    <row r="3" ht="24" customHeight="1" spans="2:5" x14ac:dyDescent="0.25">
      <c r="B3" s="2" t="s">
        <v>1</v>
      </c>
      <c r="C3" s="2"/>
      <c r="D3" s="2"/>
      <c r="E3" s="2"/>
    </row>
    <row r="5" ht="24" customHeight="1" spans="1:6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7" spans="1:6" x14ac:dyDescent="0.25">
      <c r="A7" s="4" t="s">
        <v>8</v>
      </c>
      <c r="B7" s="4"/>
      <c r="C7" s="4"/>
      <c r="D7" s="4" t="s">
        <v>9</v>
      </c>
      <c r="E7" s="4"/>
      <c r="F7" s="4"/>
    </row>
    <row r="8" spans="1:6" x14ac:dyDescent="0.25">
      <c r="A8" s="5" t="s">
        <v>10</v>
      </c>
      <c r="B8" s="6" t="s">
        <v>11</v>
      </c>
      <c r="C8" s="6"/>
      <c r="D8" s="5" t="s">
        <v>12</v>
      </c>
      <c r="E8" s="7" t="s">
        <v>13</v>
      </c>
      <c r="F8" s="7"/>
    </row>
    <row r="9" spans="1:6" x14ac:dyDescent="0.25">
      <c r="A9" s="5" t="s">
        <v>14</v>
      </c>
      <c r="B9" s="6" t="s">
        <v>15</v>
      </c>
      <c r="C9" s="6"/>
      <c r="D9" s="5" t="s">
        <v>16</v>
      </c>
      <c r="E9" s="7" t="s">
        <v>13</v>
      </c>
      <c r="F9" s="7"/>
    </row>
    <row r="10" spans="1:6" x14ac:dyDescent="0.25">
      <c r="A10" s="5" t="s">
        <v>17</v>
      </c>
      <c r="B10" s="6" t="s">
        <v>18</v>
      </c>
      <c r="C10" s="6"/>
      <c r="D10" s="5" t="s">
        <v>19</v>
      </c>
      <c r="E10" s="7" t="s">
        <v>13</v>
      </c>
      <c r="F10" s="7"/>
    </row>
    <row r="11" spans="1:6" x14ac:dyDescent="0.25">
      <c r="A11" s="5" t="s">
        <v>20</v>
      </c>
      <c r="B11" s="6" t="s">
        <v>21</v>
      </c>
      <c r="C11" s="6"/>
      <c r="D11" s="5" t="s">
        <v>22</v>
      </c>
      <c r="E11" s="7" t="s">
        <v>13</v>
      </c>
      <c r="F11" s="7"/>
    </row>
    <row r="13" ht="30" customHeight="1" spans="1:6" x14ac:dyDescent="0.25">
      <c r="A13" s="8" t="s">
        <v>23</v>
      </c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ht="22" customHeight="1" spans="1:6" x14ac:dyDescent="0.25">
      <c r="A14" s="9" t="s">
        <v>13</v>
      </c>
      <c r="B14" s="10" t="s">
        <v>13</v>
      </c>
      <c r="C14" s="11"/>
      <c r="D14" s="12"/>
      <c r="E14" s="13">
        <f>IF(OR(C14="",D14=""),"",ROUND(C14*D14,2))</f>
      </c>
      <c r="F14" s="10" t="s">
        <v>13</v>
      </c>
    </row>
    <row r="15" ht="22" customHeight="1" spans="1:6" x14ac:dyDescent="0.25">
      <c r="A15" s="9" t="s">
        <v>13</v>
      </c>
      <c r="B15" s="10" t="s">
        <v>13</v>
      </c>
      <c r="C15" s="11"/>
      <c r="D15" s="12"/>
      <c r="E15" s="13">
        <f>IF(OR(C15="",D15=""),"",ROUND(C15*D15,2))</f>
      </c>
      <c r="F15" s="10" t="s">
        <v>13</v>
      </c>
    </row>
    <row r="16" ht="22" customHeight="1" spans="1:6" x14ac:dyDescent="0.25">
      <c r="A16" s="9" t="s">
        <v>13</v>
      </c>
      <c r="B16" s="10" t="s">
        <v>13</v>
      </c>
      <c r="C16" s="11"/>
      <c r="D16" s="12"/>
      <c r="E16" s="13">
        <f>IF(OR(C16="",D16=""),"",ROUND(C16*D16,2))</f>
      </c>
      <c r="F16" s="10" t="s">
        <v>13</v>
      </c>
    </row>
    <row r="17" ht="22" customHeight="1" spans="1:6" x14ac:dyDescent="0.25">
      <c r="A17" s="9" t="s">
        <v>13</v>
      </c>
      <c r="B17" s="10" t="s">
        <v>13</v>
      </c>
      <c r="C17" s="11"/>
      <c r="D17" s="12"/>
      <c r="E17" s="13">
        <f>IF(OR(C17="",D17=""),"",ROUND(C17*D17,2))</f>
      </c>
      <c r="F17" s="10" t="s">
        <v>13</v>
      </c>
    </row>
    <row r="18" ht="22" customHeight="1" spans="1:6" x14ac:dyDescent="0.25">
      <c r="A18" s="9" t="s">
        <v>13</v>
      </c>
      <c r="B18" s="10" t="s">
        <v>13</v>
      </c>
      <c r="C18" s="11"/>
      <c r="D18" s="12"/>
      <c r="E18" s="13">
        <f>IF(OR(C18="",D18=""),"",ROUND(C18*D18,2))</f>
      </c>
      <c r="F18" s="10" t="s">
        <v>13</v>
      </c>
    </row>
    <row r="19" ht="22" customHeight="1" spans="1:6" x14ac:dyDescent="0.25">
      <c r="A19" s="9" t="s">
        <v>13</v>
      </c>
      <c r="B19" s="10" t="s">
        <v>13</v>
      </c>
      <c r="C19" s="11"/>
      <c r="D19" s="12"/>
      <c r="E19" s="13">
        <f>IF(OR(C19="",D19=""),"",ROUND(C19*D19,2))</f>
      </c>
      <c r="F19" s="10" t="s">
        <v>13</v>
      </c>
    </row>
    <row r="20" ht="22" customHeight="1" spans="1:6" x14ac:dyDescent="0.25">
      <c r="A20" s="9" t="s">
        <v>13</v>
      </c>
      <c r="B20" s="10" t="s">
        <v>13</v>
      </c>
      <c r="C20" s="11"/>
      <c r="D20" s="12"/>
      <c r="E20" s="13">
        <f>IF(OR(C20="",D20=""),"",ROUND(C20*D20,2))</f>
      </c>
      <c r="F20" s="10" t="s">
        <v>13</v>
      </c>
    </row>
    <row r="21" ht="22" customHeight="1" spans="1:6" x14ac:dyDescent="0.25">
      <c r="A21" s="9" t="s">
        <v>13</v>
      </c>
      <c r="B21" s="10" t="s">
        <v>13</v>
      </c>
      <c r="C21" s="11"/>
      <c r="D21" s="12"/>
      <c r="E21" s="13">
        <f>IF(OR(C21="",D21=""),"",ROUND(C21*D21,2))</f>
      </c>
      <c r="F21" s="10" t="s">
        <v>13</v>
      </c>
    </row>
    <row r="22" ht="22" customHeight="1" spans="1:6" x14ac:dyDescent="0.25">
      <c r="A22" s="9" t="s">
        <v>13</v>
      </c>
      <c r="B22" s="10" t="s">
        <v>13</v>
      </c>
      <c r="C22" s="11"/>
      <c r="D22" s="12"/>
      <c r="E22" s="13">
        <f>IF(OR(C22="",D22=""),"",ROUND(C22*D22,2))</f>
      </c>
      <c r="F22" s="10" t="s">
        <v>13</v>
      </c>
    </row>
    <row r="23" ht="22" customHeight="1" spans="1:6" x14ac:dyDescent="0.25">
      <c r="A23" s="9" t="s">
        <v>13</v>
      </c>
      <c r="B23" s="10" t="s">
        <v>13</v>
      </c>
      <c r="C23" s="11"/>
      <c r="D23" s="12"/>
      <c r="E23" s="13">
        <f>IF(OR(C23="",D23=""),"",ROUND(C23*D23,2))</f>
      </c>
      <c r="F23" s="10" t="s">
        <v>13</v>
      </c>
    </row>
    <row r="24" ht="22" customHeight="1" spans="1:6" x14ac:dyDescent="0.25">
      <c r="A24" s="9" t="s">
        <v>13</v>
      </c>
      <c r="B24" s="10" t="s">
        <v>13</v>
      </c>
      <c r="C24" s="11"/>
      <c r="D24" s="12"/>
      <c r="E24" s="13">
        <f>IF(OR(C24="",D24=""),"",ROUND(C24*D24,2))</f>
      </c>
      <c r="F24" s="10" t="s">
        <v>13</v>
      </c>
    </row>
    <row r="25" ht="22" customHeight="1" spans="1:6" x14ac:dyDescent="0.25">
      <c r="A25" s="9" t="s">
        <v>13</v>
      </c>
      <c r="B25" s="10" t="s">
        <v>13</v>
      </c>
      <c r="C25" s="11"/>
      <c r="D25" s="12"/>
      <c r="E25" s="13">
        <f>IF(OR(C25="",D25=""),"",ROUND(C25*D25,2))</f>
      </c>
      <c r="F25" s="10" t="s">
        <v>13</v>
      </c>
    </row>
    <row r="26" ht="22" customHeight="1" spans="1:6" x14ac:dyDescent="0.25">
      <c r="A26" s="9" t="s">
        <v>13</v>
      </c>
      <c r="B26" s="10" t="s">
        <v>13</v>
      </c>
      <c r="C26" s="11"/>
      <c r="D26" s="12"/>
      <c r="E26" s="13">
        <f>IF(OR(C26="",D26=""),"",ROUND(C26*D26,2))</f>
      </c>
      <c r="F26" s="10" t="s">
        <v>13</v>
      </c>
    </row>
    <row r="27" ht="22" customHeight="1" spans="1:6" x14ac:dyDescent="0.25">
      <c r="A27" s="9" t="s">
        <v>13</v>
      </c>
      <c r="B27" s="10" t="s">
        <v>13</v>
      </c>
      <c r="C27" s="11"/>
      <c r="D27" s="12"/>
      <c r="E27" s="13">
        <f>IF(OR(C27="",D27=""),"",ROUND(C27*D27,2))</f>
      </c>
      <c r="F27" s="10" t="s">
        <v>13</v>
      </c>
    </row>
    <row r="28" ht="22" customHeight="1" spans="1:6" x14ac:dyDescent="0.25">
      <c r="A28" s="9" t="s">
        <v>13</v>
      </c>
      <c r="B28" s="10" t="s">
        <v>13</v>
      </c>
      <c r="C28" s="11"/>
      <c r="D28" s="12"/>
      <c r="E28" s="13">
        <f>IF(OR(C28="",D28=""),"",ROUND(C28*D28,2))</f>
      </c>
      <c r="F28" s="10" t="s">
        <v>13</v>
      </c>
    </row>
    <row r="30" spans="2:5" x14ac:dyDescent="0.25">
      <c r="B30" s="14" t="s">
        <v>29</v>
      </c>
      <c r="C30" s="14"/>
      <c r="D30" s="14"/>
      <c r="E30" s="15">
        <f>SUM(E14:E28)</f>
      </c>
    </row>
    <row r="31" spans="2:5" x14ac:dyDescent="0.25">
      <c r="B31" s="14" t="s">
        <v>30</v>
      </c>
      <c r="C31" s="14"/>
      <c r="D31" s="14"/>
      <c r="E31" s="15">
        <v>0</v>
      </c>
    </row>
    <row r="32" spans="2:5" x14ac:dyDescent="0.25">
      <c r="B32" s="14" t="s">
        <v>31</v>
      </c>
      <c r="C32" s="14"/>
      <c r="D32" s="14"/>
      <c r="E32" s="15">
        <f>E30-E31</f>
      </c>
    </row>
    <row r="33" spans="2:5" x14ac:dyDescent="0.25">
      <c r="B33" s="14" t="s">
        <v>32</v>
      </c>
      <c r="C33" s="14"/>
      <c r="D33" s="14"/>
      <c r="E33" s="15">
        <f>ROUND(E32*0.15,2)</f>
      </c>
    </row>
    <row r="34" spans="2:5" x14ac:dyDescent="0.25">
      <c r="B34" s="16" t="s">
        <v>33</v>
      </c>
      <c r="C34" s="16"/>
      <c r="D34" s="16"/>
      <c r="E34" s="17">
        <f>E32+E33</f>
      </c>
    </row>
    <row r="36" spans="1:6" x14ac:dyDescent="0.25">
      <c r="A36" s="18" t="s">
        <v>34</v>
      </c>
      <c r="B36" s="18"/>
      <c r="C36" s="18"/>
      <c r="D36" s="18"/>
      <c r="E36" s="18"/>
      <c r="F36" s="18"/>
    </row>
  </sheetData>
  <mergeCells count="18">
    <mergeCell ref="A2:F2"/>
    <mergeCell ref="B3:E3"/>
    <mergeCell ref="A7:C7"/>
    <mergeCell ref="D7:F7"/>
    <mergeCell ref="B8:C8"/>
    <mergeCell ref="E8:F8"/>
    <mergeCell ref="B9:C9"/>
    <mergeCell ref="E9:F9"/>
    <mergeCell ref="B10:C10"/>
    <mergeCell ref="E10:F10"/>
    <mergeCell ref="B11:C11"/>
    <mergeCell ref="E11:F11"/>
    <mergeCell ref="B30:D30"/>
    <mergeCell ref="B31:D31"/>
    <mergeCell ref="B32:D32"/>
    <mergeCell ref="B33:D33"/>
    <mergeCell ref="B34:D34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34" customWidth="1"/>
    <col min="3" max="3" width="13" customWidth="1"/>
    <col min="4" max="4" width="15" customWidth="1"/>
    <col min="5" max="5" width="18" customWidth="1"/>
    <col min="6" max="6" width="22" customWidth="1"/>
  </cols>
  <sheetData>
    <row r="2" ht="32" customHeight="1" spans="1:6" x14ac:dyDescent="0.25">
      <c r="A2" s="1" t="s">
        <v>0</v>
      </c>
      <c r="B2" s="1"/>
      <c r="C2" s="1"/>
      <c r="D2" s="1"/>
      <c r="E2" s="1"/>
      <c r="F2" s="1"/>
    </row>
    <row r="3" ht="24" customHeight="1" spans="2:5" x14ac:dyDescent="0.25">
      <c r="B3" s="2" t="s">
        <v>35</v>
      </c>
      <c r="C3" s="2"/>
      <c r="D3" s="2"/>
      <c r="E3" s="2"/>
    </row>
    <row r="5" ht="24" customHeight="1" spans="1:6" x14ac:dyDescent="0.25">
      <c r="A5" s="3" t="s">
        <v>36</v>
      </c>
      <c r="B5" s="3" t="s">
        <v>37</v>
      </c>
      <c r="C5" s="3" t="s">
        <v>4</v>
      </c>
      <c r="D5" s="3" t="s">
        <v>5</v>
      </c>
      <c r="E5" s="3" t="s">
        <v>6</v>
      </c>
      <c r="F5" s="3" t="s">
        <v>7</v>
      </c>
    </row>
    <row r="7" spans="1:6" x14ac:dyDescent="0.25">
      <c r="A7" s="4" t="s">
        <v>8</v>
      </c>
      <c r="B7" s="4"/>
      <c r="C7" s="4"/>
      <c r="D7" s="4" t="s">
        <v>9</v>
      </c>
      <c r="E7" s="4"/>
      <c r="F7" s="4"/>
    </row>
    <row r="8" spans="1:6" x14ac:dyDescent="0.25">
      <c r="A8" s="5" t="s">
        <v>10</v>
      </c>
      <c r="B8" s="6" t="s">
        <v>11</v>
      </c>
      <c r="C8" s="6"/>
      <c r="D8" s="5" t="s">
        <v>12</v>
      </c>
      <c r="E8" s="6" t="s">
        <v>38</v>
      </c>
      <c r="F8" s="6"/>
    </row>
    <row r="9" spans="1:6" x14ac:dyDescent="0.25">
      <c r="A9" s="5" t="s">
        <v>14</v>
      </c>
      <c r="B9" s="6" t="s">
        <v>15</v>
      </c>
      <c r="C9" s="6"/>
      <c r="D9" s="5" t="s">
        <v>16</v>
      </c>
      <c r="E9" s="6" t="s">
        <v>39</v>
      </c>
      <c r="F9" s="6"/>
    </row>
    <row r="10" spans="1:6" x14ac:dyDescent="0.25">
      <c r="A10" s="5" t="s">
        <v>17</v>
      </c>
      <c r="B10" s="6" t="s">
        <v>18</v>
      </c>
      <c r="C10" s="6"/>
      <c r="D10" s="5" t="s">
        <v>19</v>
      </c>
      <c r="E10" s="6" t="s">
        <v>40</v>
      </c>
      <c r="F10" s="6"/>
    </row>
    <row r="11" spans="1:6" x14ac:dyDescent="0.25">
      <c r="A11" s="5" t="s">
        <v>20</v>
      </c>
      <c r="B11" s="6" t="s">
        <v>21</v>
      </c>
      <c r="C11" s="6"/>
      <c r="D11" s="5" t="s">
        <v>22</v>
      </c>
      <c r="E11" s="6" t="s">
        <v>13</v>
      </c>
      <c r="F11" s="6"/>
    </row>
    <row r="13" ht="30" customHeight="1" spans="1:6" x14ac:dyDescent="0.25">
      <c r="A13" s="8" t="s">
        <v>23</v>
      </c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ht="22" customHeight="1" spans="1:6" x14ac:dyDescent="0.25">
      <c r="A14" s="19" t="s">
        <v>41</v>
      </c>
      <c r="B14" s="6" t="s">
        <v>42</v>
      </c>
      <c r="C14" s="20">
        <v>120</v>
      </c>
      <c r="D14" s="13">
        <v>1000</v>
      </c>
      <c r="E14" s="13">
        <f>IF(OR(C14="",D14=""),"",ROUND(C14*D14,2))</f>
      </c>
      <c r="F14" s="6" t="s">
        <v>13</v>
      </c>
    </row>
    <row r="15" ht="22" customHeight="1" spans="1:6" x14ac:dyDescent="0.25">
      <c r="A15" s="19" t="s">
        <v>13</v>
      </c>
      <c r="B15" s="6" t="s">
        <v>13</v>
      </c>
      <c r="C15" s="20"/>
      <c r="D15" s="13"/>
      <c r="E15" s="13">
        <f>IF(OR(C15="",D15=""),"",ROUND(C15*D15,2))</f>
      </c>
      <c r="F15" s="6" t="s">
        <v>13</v>
      </c>
    </row>
    <row r="16" ht="22" customHeight="1" spans="1:6" x14ac:dyDescent="0.25">
      <c r="A16" s="19" t="s">
        <v>13</v>
      </c>
      <c r="B16" s="6" t="s">
        <v>13</v>
      </c>
      <c r="C16" s="20"/>
      <c r="D16" s="13"/>
      <c r="E16" s="13">
        <f>IF(OR(C16="",D16=""),"",ROUND(C16*D16,2))</f>
      </c>
      <c r="F16" s="6" t="s">
        <v>13</v>
      </c>
    </row>
    <row r="17" ht="22" customHeight="1" spans="1:6" x14ac:dyDescent="0.25">
      <c r="A17" s="19" t="s">
        <v>13</v>
      </c>
      <c r="B17" s="6" t="s">
        <v>13</v>
      </c>
      <c r="C17" s="20"/>
      <c r="D17" s="13"/>
      <c r="E17" s="13">
        <f>IF(OR(C17="",D17=""),"",ROUND(C17*D17,2))</f>
      </c>
      <c r="F17" s="6" t="s">
        <v>13</v>
      </c>
    </row>
    <row r="18" ht="22" customHeight="1" spans="1:6" x14ac:dyDescent="0.25">
      <c r="A18" s="19" t="s">
        <v>13</v>
      </c>
      <c r="B18" s="6" t="s">
        <v>13</v>
      </c>
      <c r="C18" s="20"/>
      <c r="D18" s="13"/>
      <c r="E18" s="13">
        <f>IF(OR(C18="",D18=""),"",ROUND(C18*D18,2))</f>
      </c>
      <c r="F18" s="6" t="s">
        <v>13</v>
      </c>
    </row>
    <row r="19" ht="22" customHeight="1" spans="1:6" x14ac:dyDescent="0.25">
      <c r="A19" s="19" t="s">
        <v>13</v>
      </c>
      <c r="B19" s="6" t="s">
        <v>13</v>
      </c>
      <c r="C19" s="20"/>
      <c r="D19" s="13"/>
      <c r="E19" s="13">
        <f>IF(OR(C19="",D19=""),"",ROUND(C19*D19,2))</f>
      </c>
      <c r="F19" s="6" t="s">
        <v>13</v>
      </c>
    </row>
    <row r="20" ht="22" customHeight="1" spans="1:6" x14ac:dyDescent="0.25">
      <c r="A20" s="19" t="s">
        <v>13</v>
      </c>
      <c r="B20" s="6" t="s">
        <v>13</v>
      </c>
      <c r="C20" s="20"/>
      <c r="D20" s="13"/>
      <c r="E20" s="13">
        <f>IF(OR(C20="",D20=""),"",ROUND(C20*D20,2))</f>
      </c>
      <c r="F20" s="6" t="s">
        <v>13</v>
      </c>
    </row>
    <row r="21" ht="22" customHeight="1" spans="1:6" x14ac:dyDescent="0.25">
      <c r="A21" s="19" t="s">
        <v>13</v>
      </c>
      <c r="B21" s="6" t="s">
        <v>13</v>
      </c>
      <c r="C21" s="20"/>
      <c r="D21" s="13"/>
      <c r="E21" s="13">
        <f>IF(OR(C21="",D21=""),"",ROUND(C21*D21,2))</f>
      </c>
      <c r="F21" s="6" t="s">
        <v>13</v>
      </c>
    </row>
    <row r="22" ht="22" customHeight="1" spans="1:6" x14ac:dyDescent="0.25">
      <c r="A22" s="19" t="s">
        <v>13</v>
      </c>
      <c r="B22" s="6" t="s">
        <v>13</v>
      </c>
      <c r="C22" s="20"/>
      <c r="D22" s="13"/>
      <c r="E22" s="13">
        <f>IF(OR(C22="",D22=""),"",ROUND(C22*D22,2))</f>
      </c>
      <c r="F22" s="6" t="s">
        <v>13</v>
      </c>
    </row>
    <row r="23" ht="22" customHeight="1" spans="1:6" x14ac:dyDescent="0.25">
      <c r="A23" s="19" t="s">
        <v>13</v>
      </c>
      <c r="B23" s="6" t="s">
        <v>13</v>
      </c>
      <c r="C23" s="20"/>
      <c r="D23" s="13"/>
      <c r="E23" s="13">
        <f>IF(OR(C23="",D23=""),"",ROUND(C23*D23,2))</f>
      </c>
      <c r="F23" s="6" t="s">
        <v>13</v>
      </c>
    </row>
    <row r="24" ht="22" customHeight="1" spans="1:6" x14ac:dyDescent="0.25">
      <c r="A24" s="19" t="s">
        <v>13</v>
      </c>
      <c r="B24" s="6" t="s">
        <v>13</v>
      </c>
      <c r="C24" s="20"/>
      <c r="D24" s="13"/>
      <c r="E24" s="13">
        <f>IF(OR(C24="",D24=""),"",ROUND(C24*D24,2))</f>
      </c>
      <c r="F24" s="6" t="s">
        <v>13</v>
      </c>
    </row>
    <row r="25" ht="22" customHeight="1" spans="1:6" x14ac:dyDescent="0.25">
      <c r="A25" s="19" t="s">
        <v>13</v>
      </c>
      <c r="B25" s="6" t="s">
        <v>13</v>
      </c>
      <c r="C25" s="20"/>
      <c r="D25" s="13"/>
      <c r="E25" s="13">
        <f>IF(OR(C25="",D25=""),"",ROUND(C25*D25,2))</f>
      </c>
      <c r="F25" s="6" t="s">
        <v>13</v>
      </c>
    </row>
    <row r="26" ht="22" customHeight="1" spans="1:6" x14ac:dyDescent="0.25">
      <c r="A26" s="19" t="s">
        <v>13</v>
      </c>
      <c r="B26" s="6" t="s">
        <v>13</v>
      </c>
      <c r="C26" s="20"/>
      <c r="D26" s="13"/>
      <c r="E26" s="13">
        <f>IF(OR(C26="",D26=""),"",ROUND(C26*D26,2))</f>
      </c>
      <c r="F26" s="6" t="s">
        <v>13</v>
      </c>
    </row>
    <row r="27" ht="22" customHeight="1" spans="1:6" x14ac:dyDescent="0.25">
      <c r="A27" s="19" t="s">
        <v>13</v>
      </c>
      <c r="B27" s="6" t="s">
        <v>13</v>
      </c>
      <c r="C27" s="20"/>
      <c r="D27" s="13"/>
      <c r="E27" s="13">
        <f>IF(OR(C27="",D27=""),"",ROUND(C27*D27,2))</f>
      </c>
      <c r="F27" s="6" t="s">
        <v>13</v>
      </c>
    </row>
    <row r="28" ht="22" customHeight="1" spans="1:6" x14ac:dyDescent="0.25">
      <c r="A28" s="19" t="s">
        <v>13</v>
      </c>
      <c r="B28" s="6" t="s">
        <v>13</v>
      </c>
      <c r="C28" s="20"/>
      <c r="D28" s="13"/>
      <c r="E28" s="13">
        <f>IF(OR(C28="",D28=""),"",ROUND(C28*D28,2))</f>
      </c>
      <c r="F28" s="6" t="s">
        <v>13</v>
      </c>
    </row>
    <row r="30" spans="2:5" x14ac:dyDescent="0.25">
      <c r="B30" s="14" t="s">
        <v>29</v>
      </c>
      <c r="C30" s="14"/>
      <c r="D30" s="14"/>
      <c r="E30" s="15">
        <f>SUM(E14:E28)</f>
      </c>
    </row>
    <row r="31" spans="2:5" x14ac:dyDescent="0.25">
      <c r="B31" s="14" t="s">
        <v>30</v>
      </c>
      <c r="C31" s="14"/>
      <c r="D31" s="14"/>
      <c r="E31" s="15">
        <v>0</v>
      </c>
    </row>
    <row r="32" spans="2:5" x14ac:dyDescent="0.25">
      <c r="B32" s="14" t="s">
        <v>31</v>
      </c>
      <c r="C32" s="14"/>
      <c r="D32" s="14"/>
      <c r="E32" s="15">
        <f>E30-E31</f>
      </c>
    </row>
    <row r="33" spans="2:5" x14ac:dyDescent="0.25">
      <c r="B33" s="14" t="s">
        <v>32</v>
      </c>
      <c r="C33" s="14"/>
      <c r="D33" s="14"/>
      <c r="E33" s="15">
        <f>ROUND(E32*0.15,2)</f>
      </c>
    </row>
    <row r="34" spans="2:5" x14ac:dyDescent="0.25">
      <c r="B34" s="16" t="s">
        <v>33</v>
      </c>
      <c r="C34" s="16"/>
      <c r="D34" s="16"/>
      <c r="E34" s="17">
        <f>E32+E33</f>
      </c>
    </row>
    <row r="36" spans="1:6" x14ac:dyDescent="0.25">
      <c r="A36" s="18" t="s">
        <v>34</v>
      </c>
      <c r="B36" s="18"/>
      <c r="C36" s="18"/>
      <c r="D36" s="18"/>
      <c r="E36" s="18"/>
      <c r="F36" s="18"/>
    </row>
  </sheetData>
  <mergeCells count="18">
    <mergeCell ref="A2:F2"/>
    <mergeCell ref="B3:E3"/>
    <mergeCell ref="A7:C7"/>
    <mergeCell ref="D7:F7"/>
    <mergeCell ref="B8:C8"/>
    <mergeCell ref="E8:F8"/>
    <mergeCell ref="B9:C9"/>
    <mergeCell ref="E9:F9"/>
    <mergeCell ref="B10:C10"/>
    <mergeCell ref="E10:F10"/>
    <mergeCell ref="B11:C11"/>
    <mergeCell ref="E11:F11"/>
    <mergeCell ref="B30:D30"/>
    <mergeCell ref="B31:D31"/>
    <mergeCell ref="B32:D32"/>
    <mergeCell ref="B33:D33"/>
    <mergeCell ref="B34:D34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