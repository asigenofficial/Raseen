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فاتورة (فارغ للإدخال)" state="visible" r:id="rId4"/>
    <sheet sheetId="2" name="الفاتورة الأصلية (عينة مطابقة)" state="visible" r:id="rId5"/>
  </sheets>
  <calcPr calcId="171027"/>
</workbook>
</file>

<file path=xl/sharedStrings.xml><?xml version="1.0" encoding="utf-8"?>
<sst xmlns="http://schemas.openxmlformats.org/spreadsheetml/2006/main" count="124" uniqueCount="38">
  <si>
    <t xml:space="preserve">MK
M. K. AL-KATHIRI EST.</t>
  </si>
  <si>
    <t>مؤسسة محمد كمال محمد الكثيري التجارية</t>
  </si>
  <si>
    <t>جدة - حي العزيزية -طريق الملك فهد</t>
  </si>
  <si>
    <t>الرقم الضريبي: 300645181300003</t>
  </si>
  <si>
    <t>السجل التجاري: 4030499958</t>
  </si>
  <si>
    <t>TAX INVOICE / فاتورة بيع</t>
  </si>
  <si>
    <t>نوع الفاتورة</t>
  </si>
  <si>
    <t>اجلة</t>
  </si>
  <si>
    <t>العميل</t>
  </si>
  <si>
    <t/>
  </si>
  <si>
    <t>رقم الفاتورة</t>
  </si>
  <si>
    <t>العنوان:</t>
  </si>
  <si>
    <t>تاريخ الفاتورة</t>
  </si>
  <si>
    <t>الرقم الضريبي:</t>
  </si>
  <si>
    <t>الوصف</t>
  </si>
  <si>
    <t>الكمية</t>
  </si>
  <si>
    <t>الوحدة</t>
  </si>
  <si>
    <t>سعر الوحدة</t>
  </si>
  <si>
    <t>الاجمالي</t>
  </si>
  <si>
    <t>النسبة</t>
  </si>
  <si>
    <t>الاجمالي شامل الضريبة</t>
  </si>
  <si>
    <t>حبة</t>
  </si>
  <si>
    <t>ملاحظات Notes والختم الرسمي</t>
  </si>
  <si>
    <t>سجل أي ملاحظات خاصة بطلبيات الدهانات أو العوازل...</t>
  </si>
  <si>
    <t>الخصم</t>
  </si>
  <si>
    <t>القيمة المضافة (15%) VAT</t>
  </si>
  <si>
    <t>الإجمالي شامل الضريبة</t>
  </si>
  <si>
    <t>1 - 1  |  جدة - حي العزيزية - طريق الملك فهد  |  مؤسسة محمد كمال محمد الكثيري التجارية</t>
  </si>
  <si>
    <t>مؤسسة تركيب للمقاولات</t>
  </si>
  <si>
    <t>5963</t>
  </si>
  <si>
    <t>جدة - حي مشرفة -طريق الملك فهد</t>
  </si>
  <si>
    <t>2025/12/18 م 9:12:07 ص</t>
  </si>
  <si>
    <t>310576130700003</t>
  </si>
  <si>
    <t>سى بى 606 ابيض 310 مل</t>
  </si>
  <si>
    <t>دهان كابلات سى بى 679</t>
  </si>
  <si>
    <t>سى اف دهان احمر</t>
  </si>
  <si>
    <t>اف اس وان 20 اوز</t>
  </si>
  <si>
    <t>البضاعة المباعة تخضع لمطابقة الجودة والمواصفات السعودية.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</si>
</sst>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8F6B00"/>
      <sz val="14"/>
      <name val="Calibri"/>
    </font>
    <font>
      <b/>
      <color rgb="FF8F6B00"/>
      <sz val="12"/>
      <name val="Calibri"/>
    </font>
    <font>
      <color rgb="FF595959"/>
      <sz val="9"/>
      <name val="Calibri"/>
    </font>
    <font>
      <b/>
      <sz val="9"/>
      <name val="Calibri"/>
    </font>
    <font>
      <sz val="9"/>
      <name val="Calibri"/>
    </font>
    <font>
      <b/>
      <color rgb="FF8F6B00"/>
      <sz val="11"/>
      <name val="Calibri"/>
    </font>
    <font>
      <b/>
      <color rgb="FF7D6608"/>
      <sz val="9"/>
      <name val="Calibri"/>
    </font>
    <font>
      <i/>
      <sz val="9"/>
      <name val="Calibri"/>
    </font>
    <font>
      <b/>
      <color rgb="FF7D6608"/>
      <sz val="11"/>
      <name val="Calibri"/>
    </font>
    <font>
      <i/>
      <color rgb="FF7F7F7F"/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F3CF"/>
      </patternFill>
    </fill>
    <fill>
      <patternFill patternType="solid">
        <fgColor rgb="FFF9E79F"/>
      </patternFill>
    </fill>
    <fill>
      <patternFill patternType="solid">
        <fgColor rgb="FFFFFAF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double">
        <color rgb="FF1111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top" wrapText="1"/>
    </xf>
    <xf numFmtId="0" fontId="4" fillId="3" borderId="3" xfId="0" applyFont="1" applyFill="1" applyBorder="1" applyAlignment="1">
      <alignment horizontal="right" vertical="center"/>
    </xf>
    <xf numFmtId="4" fontId="9" fillId="3" borderId="3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</xdr:colOff>
      <xdr:row>29</xdr:row>
      <xdr:rowOff>90000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</xdr:colOff>
      <xdr:row>29</xdr:row>
      <xdr:rowOff>90000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6"/>
  <sheetViews>
    <sheetView workbookViewId="0" rightToLeft="1"/>
  </sheetViews>
  <sheetFormatPr defaultRowHeight="15" outlineLevelRow="0" outlineLevelCol="0" x14ac:dyDescent="55"/>
  <cols>
    <col min="1" max="1" width="32" customWidth="1"/>
    <col min="2" max="3" width="11" customWidth="1"/>
    <col min="4" max="4" width="14" customWidth="1"/>
    <col min="5" max="5" width="16" customWidth="1"/>
    <col min="6" max="6" width="11" customWidth="1"/>
    <col min="7" max="7" width="18" customWidth="1"/>
  </cols>
  <sheetData>
    <row r="2" spans="3:7" x14ac:dyDescent="0.25">
      <c r="C2" s="1" t="s">
        <v>0</v>
      </c>
      <c r="D2" s="1"/>
      <c r="E2" s="2" t="s">
        <v>1</v>
      </c>
      <c r="F2" s="2"/>
      <c r="G2" s="2"/>
    </row>
    <row r="3" spans="3:7" x14ac:dyDescent="0.25">
      <c r="C3" s="1"/>
      <c r="D3" s="1"/>
      <c r="E3" s="3" t="s">
        <v>2</v>
      </c>
      <c r="F3" s="3"/>
      <c r="G3" s="3"/>
    </row>
    <row r="4" spans="3:7" x14ac:dyDescent="0.25">
      <c r="C4" s="1"/>
      <c r="D4" s="1"/>
      <c r="E4" s="4" t="s">
        <v>3</v>
      </c>
      <c r="F4" s="4"/>
      <c r="G4" s="4"/>
    </row>
    <row r="5" spans="5:7" x14ac:dyDescent="0.25">
      <c r="E5" s="5" t="s">
        <v>4</v>
      </c>
      <c r="F5" s="5"/>
      <c r="G5" s="5"/>
    </row>
    <row r="6" ht="24" customHeight="1" spans="3:5" x14ac:dyDescent="0.25">
      <c r="C6" s="6" t="s">
        <v>5</v>
      </c>
      <c r="D6" s="6"/>
      <c r="E6" s="6"/>
    </row>
    <row r="8" spans="1:7" x14ac:dyDescent="0.25">
      <c r="A8" s="7" t="s">
        <v>6</v>
      </c>
      <c r="B8" s="8" t="s">
        <v>7</v>
      </c>
      <c r="C8" s="8"/>
      <c r="D8" s="7" t="s">
        <v>8</v>
      </c>
      <c r="E8" s="9" t="s">
        <v>9</v>
      </c>
      <c r="F8" s="9"/>
      <c r="G8" s="9"/>
    </row>
    <row r="9" spans="1:7" x14ac:dyDescent="0.25">
      <c r="A9" s="7" t="s">
        <v>10</v>
      </c>
      <c r="B9" s="10" t="s">
        <v>9</v>
      </c>
      <c r="C9" s="10"/>
      <c r="D9" s="7" t="s">
        <v>11</v>
      </c>
      <c r="E9" s="9" t="s">
        <v>9</v>
      </c>
      <c r="F9" s="9"/>
      <c r="G9" s="9"/>
    </row>
    <row r="10" spans="1:7" x14ac:dyDescent="0.25">
      <c r="A10" s="7" t="s">
        <v>12</v>
      </c>
      <c r="B10" s="10" t="s">
        <v>9</v>
      </c>
      <c r="C10" s="10"/>
      <c r="D10" s="7" t="s">
        <v>13</v>
      </c>
      <c r="E10" s="9" t="s">
        <v>9</v>
      </c>
      <c r="F10" s="9"/>
      <c r="G10" s="9"/>
    </row>
    <row r="13" ht="25" customHeight="1" spans="1:7" x14ac:dyDescent="0.25">
      <c r="A13" s="11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</row>
    <row r="14" ht="20" customHeight="1" spans="1:7" x14ac:dyDescent="0.25">
      <c r="A14" s="12" t="s">
        <v>9</v>
      </c>
      <c r="B14" s="13"/>
      <c r="C14" s="14" t="s">
        <v>21</v>
      </c>
      <c r="D14" s="15"/>
      <c r="E14" s="16">
        <f>IF(OR(B14="",D14=""),"",ROUND(B14*D14,2))</f>
      </c>
      <c r="F14" s="17">
        <v>0.15</v>
      </c>
      <c r="G14" s="16">
        <f>IF(E14="","",ROUND(E14*(1+F14),2))</f>
      </c>
    </row>
    <row r="15" ht="20" customHeight="1" spans="1:7" x14ac:dyDescent="0.25">
      <c r="A15" s="12" t="s">
        <v>9</v>
      </c>
      <c r="B15" s="13"/>
      <c r="C15" s="14" t="s">
        <v>21</v>
      </c>
      <c r="D15" s="15"/>
      <c r="E15" s="16">
        <f>IF(OR(B15="",D15=""),"",ROUND(B15*D15,2))</f>
      </c>
      <c r="F15" s="17">
        <v>0.15</v>
      </c>
      <c r="G15" s="16">
        <f>IF(E15="","",ROUND(E15*(1+F15),2))</f>
      </c>
    </row>
    <row r="16" ht="20" customHeight="1" spans="1:7" x14ac:dyDescent="0.25">
      <c r="A16" s="12" t="s">
        <v>9</v>
      </c>
      <c r="B16" s="13"/>
      <c r="C16" s="14" t="s">
        <v>21</v>
      </c>
      <c r="D16" s="15"/>
      <c r="E16" s="16">
        <f>IF(OR(B16="",D16=""),"",ROUND(B16*D16,2))</f>
      </c>
      <c r="F16" s="17">
        <v>0.15</v>
      </c>
      <c r="G16" s="16">
        <f>IF(E16="","",ROUND(E16*(1+F16),2))</f>
      </c>
    </row>
    <row r="17" ht="20" customHeight="1" spans="1:7" x14ac:dyDescent="0.25">
      <c r="A17" s="12" t="s">
        <v>9</v>
      </c>
      <c r="B17" s="13"/>
      <c r="C17" s="14" t="s">
        <v>21</v>
      </c>
      <c r="D17" s="15"/>
      <c r="E17" s="16">
        <f>IF(OR(B17="",D17=""),"",ROUND(B17*D17,2))</f>
      </c>
      <c r="F17" s="17">
        <v>0.15</v>
      </c>
      <c r="G17" s="16">
        <f>IF(E17="","",ROUND(E17*(1+F17),2))</f>
      </c>
    </row>
    <row r="18" ht="20" customHeight="1" spans="1:7" x14ac:dyDescent="0.25">
      <c r="A18" s="12" t="s">
        <v>9</v>
      </c>
      <c r="B18" s="13"/>
      <c r="C18" s="14" t="s">
        <v>21</v>
      </c>
      <c r="D18" s="15"/>
      <c r="E18" s="16">
        <f>IF(OR(B18="",D18=""),"",ROUND(B18*D18,2))</f>
      </c>
      <c r="F18" s="17">
        <v>0.15</v>
      </c>
      <c r="G18" s="16">
        <f>IF(E18="","",ROUND(E18*(1+F18),2))</f>
      </c>
    </row>
    <row r="19" ht="20" customHeight="1" spans="1:7" x14ac:dyDescent="0.25">
      <c r="A19" s="12" t="s">
        <v>9</v>
      </c>
      <c r="B19" s="13"/>
      <c r="C19" s="14" t="s">
        <v>21</v>
      </c>
      <c r="D19" s="15"/>
      <c r="E19" s="16">
        <f>IF(OR(B19="",D19=""),"",ROUND(B19*D19,2))</f>
      </c>
      <c r="F19" s="17">
        <v>0.15</v>
      </c>
      <c r="G19" s="16">
        <f>IF(E19="","",ROUND(E19*(1+F19),2))</f>
      </c>
    </row>
    <row r="20" ht="20" customHeight="1" spans="1:7" x14ac:dyDescent="0.25">
      <c r="A20" s="12" t="s">
        <v>9</v>
      </c>
      <c r="B20" s="13"/>
      <c r="C20" s="14" t="s">
        <v>21</v>
      </c>
      <c r="D20" s="15"/>
      <c r="E20" s="16">
        <f>IF(OR(B20="",D20=""),"",ROUND(B20*D20,2))</f>
      </c>
      <c r="F20" s="17">
        <v>0.15</v>
      </c>
      <c r="G20" s="16">
        <f>IF(E20="","",ROUND(E20*(1+F20),2))</f>
      </c>
    </row>
    <row r="21" ht="20" customHeight="1" spans="1:7" x14ac:dyDescent="0.25">
      <c r="A21" s="12" t="s">
        <v>9</v>
      </c>
      <c r="B21" s="13"/>
      <c r="C21" s="14" t="s">
        <v>21</v>
      </c>
      <c r="D21" s="15"/>
      <c r="E21" s="16">
        <f>IF(OR(B21="",D21=""),"",ROUND(B21*D21,2))</f>
      </c>
      <c r="F21" s="17">
        <v>0.15</v>
      </c>
      <c r="G21" s="16">
        <f>IF(E21="","",ROUND(E21*(1+F21),2))</f>
      </c>
    </row>
    <row r="22" ht="20" customHeight="1" spans="1:7" x14ac:dyDescent="0.25">
      <c r="A22" s="12" t="s">
        <v>9</v>
      </c>
      <c r="B22" s="13"/>
      <c r="C22" s="14" t="s">
        <v>21</v>
      </c>
      <c r="D22" s="15"/>
      <c r="E22" s="16">
        <f>IF(OR(B22="",D22=""),"",ROUND(B22*D22,2))</f>
      </c>
      <c r="F22" s="17">
        <v>0.15</v>
      </c>
      <c r="G22" s="16">
        <f>IF(E22="","",ROUND(E22*(1+F22),2))</f>
      </c>
    </row>
    <row r="23" ht="20" customHeight="1" spans="1:7" x14ac:dyDescent="0.25">
      <c r="A23" s="12" t="s">
        <v>9</v>
      </c>
      <c r="B23" s="13"/>
      <c r="C23" s="14" t="s">
        <v>21</v>
      </c>
      <c r="D23" s="15"/>
      <c r="E23" s="16">
        <f>IF(OR(B23="",D23=""),"",ROUND(B23*D23,2))</f>
      </c>
      <c r="F23" s="17">
        <v>0.15</v>
      </c>
      <c r="G23" s="16">
        <f>IF(E23="","",ROUND(E23*(1+F23),2))</f>
      </c>
    </row>
    <row r="24" ht="20" customHeight="1" spans="1:7" x14ac:dyDescent="0.25">
      <c r="A24" s="12" t="s">
        <v>9</v>
      </c>
      <c r="B24" s="13"/>
      <c r="C24" s="14" t="s">
        <v>21</v>
      </c>
      <c r="D24" s="15"/>
      <c r="E24" s="16">
        <f>IF(OR(B24="",D24=""),"",ROUND(B24*D24,2))</f>
      </c>
      <c r="F24" s="17">
        <v>0.15</v>
      </c>
      <c r="G24" s="16">
        <f>IF(E24="","",ROUND(E24*(1+F24),2))</f>
      </c>
    </row>
    <row r="25" ht="20" customHeight="1" spans="1:7" x14ac:dyDescent="0.25">
      <c r="A25" s="12" t="s">
        <v>9</v>
      </c>
      <c r="B25" s="13"/>
      <c r="C25" s="14" t="s">
        <v>21</v>
      </c>
      <c r="D25" s="15"/>
      <c r="E25" s="16">
        <f>IF(OR(B25="",D25=""),"",ROUND(B25*D25,2))</f>
      </c>
      <c r="F25" s="17">
        <v>0.15</v>
      </c>
      <c r="G25" s="16">
        <f>IF(E25="","",ROUND(E25*(1+F25),2))</f>
      </c>
    </row>
    <row r="26" ht="20" customHeight="1" spans="1:7" x14ac:dyDescent="0.25">
      <c r="A26" s="12" t="s">
        <v>9</v>
      </c>
      <c r="B26" s="13"/>
      <c r="C26" s="14" t="s">
        <v>21</v>
      </c>
      <c r="D26" s="15"/>
      <c r="E26" s="16">
        <f>IF(OR(B26="",D26=""),"",ROUND(B26*D26,2))</f>
      </c>
      <c r="F26" s="17">
        <v>0.15</v>
      </c>
      <c r="G26" s="16">
        <f>IF(E26="","",ROUND(E26*(1+F26),2))</f>
      </c>
    </row>
    <row r="27" ht="20" customHeight="1" spans="1:7" x14ac:dyDescent="0.25">
      <c r="A27" s="12" t="s">
        <v>9</v>
      </c>
      <c r="B27" s="13"/>
      <c r="C27" s="14" t="s">
        <v>21</v>
      </c>
      <c r="D27" s="15"/>
      <c r="E27" s="16">
        <f>IF(OR(B27="",D27=""),"",ROUND(B27*D27,2))</f>
      </c>
      <c r="F27" s="17">
        <v>0.15</v>
      </c>
      <c r="G27" s="16">
        <f>IF(E27="","",ROUND(E27*(1+F27),2))</f>
      </c>
    </row>
    <row r="28" ht="20" customHeight="1" spans="1:7" x14ac:dyDescent="0.25">
      <c r="A28" s="12" t="s">
        <v>9</v>
      </c>
      <c r="B28" s="13"/>
      <c r="C28" s="14" t="s">
        <v>21</v>
      </c>
      <c r="D28" s="15"/>
      <c r="E28" s="16">
        <f>IF(OR(B28="",D28=""),"",ROUND(B28*D28,2))</f>
      </c>
      <c r="F28" s="17">
        <v>0.15</v>
      </c>
      <c r="G28" s="16">
        <f>IF(E28="","",ROUND(E28*(1+F28),2))</f>
      </c>
    </row>
    <row r="30" spans="2:7" x14ac:dyDescent="0.25">
      <c r="B30" s="18" t="s">
        <v>22</v>
      </c>
      <c r="C30" s="18"/>
      <c r="D30" s="18"/>
      <c r="E30" s="19" t="s">
        <v>18</v>
      </c>
      <c r="F30" s="20">
        <f>SUM(E14:E28)</f>
      </c>
      <c r="G30" s="20"/>
    </row>
    <row r="31" spans="2:7" x14ac:dyDescent="0.25">
      <c r="B31" s="21" t="s">
        <v>23</v>
      </c>
      <c r="C31" s="21"/>
      <c r="D31" s="21"/>
      <c r="E31" s="19" t="s">
        <v>24</v>
      </c>
      <c r="F31" s="20">
        <v>0</v>
      </c>
      <c r="G31" s="20"/>
    </row>
    <row r="32" spans="2:7" x14ac:dyDescent="0.25">
      <c r="B32" s="21"/>
      <c r="C32" s="21"/>
      <c r="D32" s="21"/>
      <c r="E32" s="19" t="s">
        <v>25</v>
      </c>
      <c r="F32" s="20">
        <f>ROUND(F30*0.15,2)</f>
      </c>
      <c r="G32" s="20"/>
    </row>
    <row r="33" spans="2:7" x14ac:dyDescent="0.25">
      <c r="B33" s="21"/>
      <c r="C33" s="21"/>
      <c r="D33" s="21"/>
      <c r="E33" s="22" t="s">
        <v>26</v>
      </c>
      <c r="F33" s="23">
        <f>F30-F31+F32</f>
      </c>
      <c r="G33" s="23"/>
    </row>
    <row r="34" spans="2:4" x14ac:dyDescent="0.25">
      <c r="B34" s="21"/>
      <c r="C34" s="21"/>
      <c r="D34" s="21"/>
    </row>
    <row r="36" spans="1:7" x14ac:dyDescent="0.25">
      <c r="A36" s="24" t="s">
        <v>27</v>
      </c>
      <c r="B36" s="24"/>
      <c r="C36" s="24"/>
      <c r="D36" s="24"/>
      <c r="E36" s="24"/>
      <c r="F36" s="24"/>
      <c r="G36" s="24"/>
    </row>
  </sheetData>
  <mergeCells count="19">
    <mergeCell ref="C2:D4"/>
    <mergeCell ref="E2:G2"/>
    <mergeCell ref="E3:G3"/>
    <mergeCell ref="E4:G4"/>
    <mergeCell ref="E5:G5"/>
    <mergeCell ref="C6:E6"/>
    <mergeCell ref="B8:C8"/>
    <mergeCell ref="E8:G8"/>
    <mergeCell ref="B9:C9"/>
    <mergeCell ref="E9:G9"/>
    <mergeCell ref="B10:C10"/>
    <mergeCell ref="E10:G10"/>
    <mergeCell ref="B30:D30"/>
    <mergeCell ref="F30:G30"/>
    <mergeCell ref="B31:D34"/>
    <mergeCell ref="F31:G31"/>
    <mergeCell ref="F32:G32"/>
    <mergeCell ref="F33:G33"/>
    <mergeCell ref="A36:G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6"/>
  <sheetViews>
    <sheetView workbookViewId="0" rightToLeft="1"/>
  </sheetViews>
  <sheetFormatPr defaultRowHeight="15" outlineLevelRow="0" outlineLevelCol="0" x14ac:dyDescent="55"/>
  <cols>
    <col min="1" max="1" width="32" customWidth="1"/>
    <col min="2" max="3" width="11" customWidth="1"/>
    <col min="4" max="4" width="14" customWidth="1"/>
    <col min="5" max="5" width="16" customWidth="1"/>
    <col min="6" max="6" width="11" customWidth="1"/>
    <col min="7" max="7" width="18" customWidth="1"/>
  </cols>
  <sheetData>
    <row r="2" spans="3:7" x14ac:dyDescent="0.25">
      <c r="C2" s="1" t="s">
        <v>0</v>
      </c>
      <c r="D2" s="1"/>
      <c r="E2" s="2" t="s">
        <v>1</v>
      </c>
      <c r="F2" s="2"/>
      <c r="G2" s="2"/>
    </row>
    <row r="3" spans="3:7" x14ac:dyDescent="0.25">
      <c r="C3" s="1"/>
      <c r="D3" s="1"/>
      <c r="E3" s="3" t="s">
        <v>2</v>
      </c>
      <c r="F3" s="3"/>
      <c r="G3" s="3"/>
    </row>
    <row r="4" spans="3:7" x14ac:dyDescent="0.25">
      <c r="C4" s="1"/>
      <c r="D4" s="1"/>
      <c r="E4" s="4" t="s">
        <v>3</v>
      </c>
      <c r="F4" s="4"/>
      <c r="G4" s="4"/>
    </row>
    <row r="5" spans="5:7" x14ac:dyDescent="0.25">
      <c r="E5" s="5" t="s">
        <v>4</v>
      </c>
      <c r="F5" s="5"/>
      <c r="G5" s="5"/>
    </row>
    <row r="6" ht="24" customHeight="1" spans="3:5" x14ac:dyDescent="0.25">
      <c r="C6" s="6" t="s">
        <v>5</v>
      </c>
      <c r="D6" s="6"/>
      <c r="E6" s="6"/>
    </row>
    <row r="8" spans="1:7" x14ac:dyDescent="0.25">
      <c r="A8" s="7" t="s">
        <v>6</v>
      </c>
      <c r="B8" s="8" t="s">
        <v>7</v>
      </c>
      <c r="C8" s="8"/>
      <c r="D8" s="7" t="s">
        <v>8</v>
      </c>
      <c r="E8" s="25" t="s">
        <v>28</v>
      </c>
      <c r="F8" s="25"/>
      <c r="G8" s="25"/>
    </row>
    <row r="9" spans="1:7" x14ac:dyDescent="0.25">
      <c r="A9" s="7" t="s">
        <v>10</v>
      </c>
      <c r="B9" s="8" t="s">
        <v>29</v>
      </c>
      <c r="C9" s="8"/>
      <c r="D9" s="7" t="s">
        <v>11</v>
      </c>
      <c r="E9" s="25" t="s">
        <v>30</v>
      </c>
      <c r="F9" s="25"/>
      <c r="G9" s="25"/>
    </row>
    <row r="10" spans="1:7" x14ac:dyDescent="0.25">
      <c r="A10" s="7" t="s">
        <v>12</v>
      </c>
      <c r="B10" s="8" t="s">
        <v>31</v>
      </c>
      <c r="C10" s="8"/>
      <c r="D10" s="7" t="s">
        <v>13</v>
      </c>
      <c r="E10" s="25" t="s">
        <v>32</v>
      </c>
      <c r="F10" s="25"/>
      <c r="G10" s="25"/>
    </row>
    <row r="13" ht="25" customHeight="1" spans="1:7" x14ac:dyDescent="0.25">
      <c r="A13" s="11" t="s">
        <v>14</v>
      </c>
      <c r="B13" s="11" t="s">
        <v>15</v>
      </c>
      <c r="C13" s="11" t="s">
        <v>16</v>
      </c>
      <c r="D13" s="11" t="s">
        <v>17</v>
      </c>
      <c r="E13" s="11" t="s">
        <v>18</v>
      </c>
      <c r="F13" s="11" t="s">
        <v>19</v>
      </c>
      <c r="G13" s="11" t="s">
        <v>20</v>
      </c>
    </row>
    <row r="14" ht="20" customHeight="1" spans="1:7" x14ac:dyDescent="0.25">
      <c r="A14" s="25" t="s">
        <v>33</v>
      </c>
      <c r="B14" s="26">
        <v>8</v>
      </c>
      <c r="C14" s="8" t="s">
        <v>21</v>
      </c>
      <c r="D14" s="16">
        <v>76.5</v>
      </c>
      <c r="E14" s="16">
        <f>IF(OR(B14="",D14=""),"",ROUND(B14*D14,2))</f>
      </c>
      <c r="F14" s="17">
        <v>0.15</v>
      </c>
      <c r="G14" s="16">
        <f>IF(E14="","",ROUND(E14*(1+F14),2))</f>
      </c>
    </row>
    <row r="15" ht="20" customHeight="1" spans="1:7" x14ac:dyDescent="0.25">
      <c r="A15" s="25" t="s">
        <v>34</v>
      </c>
      <c r="B15" s="26">
        <v>3</v>
      </c>
      <c r="C15" s="8" t="s">
        <v>21</v>
      </c>
      <c r="D15" s="16">
        <v>5340</v>
      </c>
      <c r="E15" s="16">
        <f>IF(OR(B15="",D15=""),"",ROUND(B15*D15,2))</f>
      </c>
      <c r="F15" s="17">
        <v>0.15</v>
      </c>
      <c r="G15" s="16">
        <f>IF(E15="","",ROUND(E15*(1+F15),2))</f>
      </c>
    </row>
    <row r="16" ht="20" customHeight="1" spans="1:7" x14ac:dyDescent="0.25">
      <c r="A16" s="25" t="s">
        <v>35</v>
      </c>
      <c r="B16" s="26">
        <v>2</v>
      </c>
      <c r="C16" s="8" t="s">
        <v>21</v>
      </c>
      <c r="D16" s="16">
        <v>2850</v>
      </c>
      <c r="E16" s="16">
        <f>IF(OR(B16="",D16=""),"",ROUND(B16*D16,2))</f>
      </c>
      <c r="F16" s="17">
        <v>0.15</v>
      </c>
      <c r="G16" s="16">
        <f>IF(E16="","",ROUND(E16*(1+F16),2))</f>
      </c>
    </row>
    <row r="17" ht="20" customHeight="1" spans="1:7" x14ac:dyDescent="0.25">
      <c r="A17" s="25" t="s">
        <v>36</v>
      </c>
      <c r="B17" s="26">
        <v>10</v>
      </c>
      <c r="C17" s="8" t="s">
        <v>21</v>
      </c>
      <c r="D17" s="16">
        <v>139</v>
      </c>
      <c r="E17" s="16">
        <f>IF(OR(B17="",D17=""),"",ROUND(B17*D17,2))</f>
      </c>
      <c r="F17" s="17">
        <v>0.15</v>
      </c>
      <c r="G17" s="16">
        <f>IF(E17="","",ROUND(E17*(1+F17),2))</f>
      </c>
    </row>
    <row r="18" ht="20" customHeight="1" spans="1:7" x14ac:dyDescent="0.25">
      <c r="A18" s="25" t="s">
        <v>9</v>
      </c>
      <c r="B18" s="26"/>
      <c r="C18" s="8" t="s">
        <v>9</v>
      </c>
      <c r="D18" s="16"/>
      <c r="E18" s="16">
        <f>IF(OR(B18="",D18=""),"",ROUND(B18*D18,2))</f>
      </c>
      <c r="F18" s="17">
        <v>0.15</v>
      </c>
      <c r="G18" s="16">
        <f>IF(E18="","",ROUND(E18*(1+F18),2))</f>
      </c>
    </row>
    <row r="19" ht="20" customHeight="1" spans="1:7" x14ac:dyDescent="0.25">
      <c r="A19" s="25" t="s">
        <v>9</v>
      </c>
      <c r="B19" s="26"/>
      <c r="C19" s="8" t="s">
        <v>9</v>
      </c>
      <c r="D19" s="16"/>
      <c r="E19" s="16">
        <f>IF(OR(B19="",D19=""),"",ROUND(B19*D19,2))</f>
      </c>
      <c r="F19" s="17">
        <v>0.15</v>
      </c>
      <c r="G19" s="16">
        <f>IF(E19="","",ROUND(E19*(1+F19),2))</f>
      </c>
    </row>
    <row r="20" ht="20" customHeight="1" spans="1:7" x14ac:dyDescent="0.25">
      <c r="A20" s="25" t="s">
        <v>9</v>
      </c>
      <c r="B20" s="26"/>
      <c r="C20" s="8" t="s">
        <v>9</v>
      </c>
      <c r="D20" s="16"/>
      <c r="E20" s="16">
        <f>IF(OR(B20="",D20=""),"",ROUND(B20*D20,2))</f>
      </c>
      <c r="F20" s="17">
        <v>0.15</v>
      </c>
      <c r="G20" s="16">
        <f>IF(E20="","",ROUND(E20*(1+F20),2))</f>
      </c>
    </row>
    <row r="21" ht="20" customHeight="1" spans="1:7" x14ac:dyDescent="0.25">
      <c r="A21" s="25" t="s">
        <v>9</v>
      </c>
      <c r="B21" s="26"/>
      <c r="C21" s="8" t="s">
        <v>9</v>
      </c>
      <c r="D21" s="16"/>
      <c r="E21" s="16">
        <f>IF(OR(B21="",D21=""),"",ROUND(B21*D21,2))</f>
      </c>
      <c r="F21" s="17">
        <v>0.15</v>
      </c>
      <c r="G21" s="16">
        <f>IF(E21="","",ROUND(E21*(1+F21),2))</f>
      </c>
    </row>
    <row r="22" ht="20" customHeight="1" spans="1:7" x14ac:dyDescent="0.25">
      <c r="A22" s="25" t="s">
        <v>9</v>
      </c>
      <c r="B22" s="26"/>
      <c r="C22" s="8" t="s">
        <v>9</v>
      </c>
      <c r="D22" s="16"/>
      <c r="E22" s="16">
        <f>IF(OR(B22="",D22=""),"",ROUND(B22*D22,2))</f>
      </c>
      <c r="F22" s="17">
        <v>0.15</v>
      </c>
      <c r="G22" s="16">
        <f>IF(E22="","",ROUND(E22*(1+F22),2))</f>
      </c>
    </row>
    <row r="23" ht="20" customHeight="1" spans="1:7" x14ac:dyDescent="0.25">
      <c r="A23" s="25" t="s">
        <v>9</v>
      </c>
      <c r="B23" s="26"/>
      <c r="C23" s="8" t="s">
        <v>9</v>
      </c>
      <c r="D23" s="16"/>
      <c r="E23" s="16">
        <f>IF(OR(B23="",D23=""),"",ROUND(B23*D23,2))</f>
      </c>
      <c r="F23" s="17">
        <v>0.15</v>
      </c>
      <c r="G23" s="16">
        <f>IF(E23="","",ROUND(E23*(1+F23),2))</f>
      </c>
    </row>
    <row r="24" ht="20" customHeight="1" spans="1:7" x14ac:dyDescent="0.25">
      <c r="A24" s="25" t="s">
        <v>9</v>
      </c>
      <c r="B24" s="26"/>
      <c r="C24" s="8" t="s">
        <v>9</v>
      </c>
      <c r="D24" s="16"/>
      <c r="E24" s="16">
        <f>IF(OR(B24="",D24=""),"",ROUND(B24*D24,2))</f>
      </c>
      <c r="F24" s="17">
        <v>0.15</v>
      </c>
      <c r="G24" s="16">
        <f>IF(E24="","",ROUND(E24*(1+F24),2))</f>
      </c>
    </row>
    <row r="25" ht="20" customHeight="1" spans="1:7" x14ac:dyDescent="0.25">
      <c r="A25" s="25" t="s">
        <v>9</v>
      </c>
      <c r="B25" s="26"/>
      <c r="C25" s="8" t="s">
        <v>9</v>
      </c>
      <c r="D25" s="16"/>
      <c r="E25" s="16">
        <f>IF(OR(B25="",D25=""),"",ROUND(B25*D25,2))</f>
      </c>
      <c r="F25" s="17">
        <v>0.15</v>
      </c>
      <c r="G25" s="16">
        <f>IF(E25="","",ROUND(E25*(1+F25),2))</f>
      </c>
    </row>
    <row r="26" ht="20" customHeight="1" spans="1:7" x14ac:dyDescent="0.25">
      <c r="A26" s="25" t="s">
        <v>9</v>
      </c>
      <c r="B26" s="26"/>
      <c r="C26" s="8" t="s">
        <v>9</v>
      </c>
      <c r="D26" s="16"/>
      <c r="E26" s="16">
        <f>IF(OR(B26="",D26=""),"",ROUND(B26*D26,2))</f>
      </c>
      <c r="F26" s="17">
        <v>0.15</v>
      </c>
      <c r="G26" s="16">
        <f>IF(E26="","",ROUND(E26*(1+F26),2))</f>
      </c>
    </row>
    <row r="27" ht="20" customHeight="1" spans="1:7" x14ac:dyDescent="0.25">
      <c r="A27" s="25" t="s">
        <v>9</v>
      </c>
      <c r="B27" s="26"/>
      <c r="C27" s="8" t="s">
        <v>9</v>
      </c>
      <c r="D27" s="16"/>
      <c r="E27" s="16">
        <f>IF(OR(B27="",D27=""),"",ROUND(B27*D27,2))</f>
      </c>
      <c r="F27" s="17">
        <v>0.15</v>
      </c>
      <c r="G27" s="16">
        <f>IF(E27="","",ROUND(E27*(1+F27),2))</f>
      </c>
    </row>
    <row r="28" ht="20" customHeight="1" spans="1:7" x14ac:dyDescent="0.25">
      <c r="A28" s="25" t="s">
        <v>9</v>
      </c>
      <c r="B28" s="26"/>
      <c r="C28" s="8" t="s">
        <v>9</v>
      </c>
      <c r="D28" s="16"/>
      <c r="E28" s="16">
        <f>IF(OR(B28="",D28=""),"",ROUND(B28*D28,2))</f>
      </c>
      <c r="F28" s="17">
        <v>0.15</v>
      </c>
      <c r="G28" s="16">
        <f>IF(E28="","",ROUND(E28*(1+F28),2))</f>
      </c>
    </row>
    <row r="30" spans="2:7" x14ac:dyDescent="0.25">
      <c r="B30" s="18" t="s">
        <v>22</v>
      </c>
      <c r="C30" s="18"/>
      <c r="D30" s="18"/>
      <c r="E30" s="19" t="s">
        <v>18</v>
      </c>
      <c r="F30" s="20">
        <f>SUM(E14:E28)</f>
      </c>
      <c r="G30" s="20"/>
    </row>
    <row r="31" spans="2:7" x14ac:dyDescent="0.25">
      <c r="B31" s="21" t="s">
        <v>37</v>
      </c>
      <c r="C31" s="21"/>
      <c r="D31" s="21"/>
      <c r="E31" s="19" t="s">
        <v>24</v>
      </c>
      <c r="F31" s="20">
        <v>0</v>
      </c>
      <c r="G31" s="20"/>
    </row>
    <row r="32" spans="2:7" x14ac:dyDescent="0.25">
      <c r="B32" s="21"/>
      <c r="C32" s="21"/>
      <c r="D32" s="21"/>
      <c r="E32" s="19" t="s">
        <v>25</v>
      </c>
      <c r="F32" s="20">
        <f>ROUND(F30*0.15,2)</f>
      </c>
      <c r="G32" s="20"/>
    </row>
    <row r="33" spans="2:7" x14ac:dyDescent="0.25">
      <c r="B33" s="21"/>
      <c r="C33" s="21"/>
      <c r="D33" s="21"/>
      <c r="E33" s="22" t="s">
        <v>26</v>
      </c>
      <c r="F33" s="23">
        <f>F30-F31+F32</f>
      </c>
      <c r="G33" s="23"/>
    </row>
    <row r="34" spans="2:4" x14ac:dyDescent="0.25">
      <c r="B34" s="21"/>
      <c r="C34" s="21"/>
      <c r="D34" s="21"/>
    </row>
    <row r="36" spans="1:7" x14ac:dyDescent="0.25">
      <c r="A36" s="24" t="s">
        <v>27</v>
      </c>
      <c r="B36" s="24"/>
      <c r="C36" s="24"/>
      <c r="D36" s="24"/>
      <c r="E36" s="24"/>
      <c r="F36" s="24"/>
      <c r="G36" s="24"/>
    </row>
  </sheetData>
  <mergeCells count="19">
    <mergeCell ref="C2:D4"/>
    <mergeCell ref="E2:G2"/>
    <mergeCell ref="E3:G3"/>
    <mergeCell ref="E4:G4"/>
    <mergeCell ref="E5:G5"/>
    <mergeCell ref="C6:E6"/>
    <mergeCell ref="B8:C8"/>
    <mergeCell ref="E8:G8"/>
    <mergeCell ref="B9:C9"/>
    <mergeCell ref="E9:G9"/>
    <mergeCell ref="B10:C10"/>
    <mergeCell ref="E10:G10"/>
    <mergeCell ref="B30:D30"/>
    <mergeCell ref="F30:G30"/>
    <mergeCell ref="B31:D34"/>
    <mergeCell ref="F31:G31"/>
    <mergeCell ref="F32:G32"/>
    <mergeCell ref="F33:G33"/>
    <mergeCell ref="A36:G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الفاتورة (فارغ للإدخال)</vt:lpstr>
      <vt:lpstr>الفاتورة الأصلية (عينة مطابقة)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الفوترة الإلكترونية</dc:creator>
  <dc:title/>
  <dc:subject/>
  <dc:description/>
  <cp:keywords/>
  <cp:category/>
  <cp:lastModifiedBy>Unknown</cp:lastModifiedBy>
  <dcterms:created xsi:type="dcterms:W3CDTF">2026-09-17T04:10:50Z</dcterms:created>
  <dcterms:modified xsi:type="dcterms:W3CDTF">2026-09-17T04:10:50Z</dcterms:modified>
</cp:coreProperties>
</file>