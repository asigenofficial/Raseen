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<sst xmlns="http://schemas.openxmlformats.org/spreadsheetml/2006/main" count="96" uniqueCount="44">
  <si>
    <t>Al-Hurra United Logistics Services Company</t>
  </si>
  <si>
    <t>شركة الحرة المتحدة للخدمات اللوجستية</t>
  </si>
  <si>
    <t>Vat No. 311261032200003</t>
  </si>
  <si>
    <t>جدة - حي الفيصلية -طريق الملك فهد</t>
  </si>
  <si>
    <t>CR. 7028658511</t>
  </si>
  <si>
    <t>الرقم الضريبي: 311261032200003</t>
  </si>
  <si>
    <t>السجل التجاري: 7028658511</t>
  </si>
  <si>
    <t>فاتورة مبيعات ضريبية</t>
  </si>
  <si>
    <t>نوع الفاتورة</t>
  </si>
  <si>
    <t>اجلة</t>
  </si>
  <si>
    <t>العميل</t>
  </si>
  <si>
    <t/>
  </si>
  <si>
    <t>رقم الفاتورة</t>
  </si>
  <si>
    <t>العنوان:</t>
  </si>
  <si>
    <t>تاريخ الفاتورة</t>
  </si>
  <si>
    <t>الرقم الضريبي:</t>
  </si>
  <si>
    <t>الوصف</t>
  </si>
  <si>
    <t>سعر الوحدة</t>
  </si>
  <si>
    <t>الكمية</t>
  </si>
  <si>
    <t>الاجمالي</t>
  </si>
  <si>
    <t>النسبة</t>
  </si>
  <si>
    <t>الاجمالي شامل الضريبة</t>
  </si>
  <si>
    <t>ملاحظات Notes</t>
  </si>
  <si>
    <t>سجل أي ملاحظات خاصة بالتسليم أو شروط السداد هنا...</t>
  </si>
  <si>
    <t>الخصم</t>
  </si>
  <si>
    <t>القيمة المضافة (15%) VAT</t>
  </si>
  <si>
    <t>الإجمالي شامل الضريبة</t>
  </si>
  <si>
    <t>1 - 1  |  جوال: -  |  جدة - حي الفيصلية - طريق الملك فهد</t>
  </si>
  <si>
    <t>شركة اوتاد البدر</t>
  </si>
  <si>
    <t>5548</t>
  </si>
  <si>
    <t>مكة المكرمة - حي الشرائع</t>
  </si>
  <si>
    <t>2026/4/20 م 10:25:05 ص</t>
  </si>
  <si>
    <t>312744658900003</t>
  </si>
  <si>
    <t>Downy 2L منعم ملابس</t>
  </si>
  <si>
    <t>منشفة حمام قطن فندقي</t>
  </si>
  <si>
    <t>منشفة وجه</t>
  </si>
  <si>
    <t>كوب ورقي 8 oz</t>
  </si>
  <si>
    <t>شرشف سرير مزدوج</t>
  </si>
  <si>
    <t>مخدة فندقية</t>
  </si>
  <si>
    <t>Harpic منظف حمام</t>
  </si>
  <si>
    <t>بطانية سرير</t>
  </si>
  <si>
    <t>Dettol صابون</t>
  </si>
  <si>
    <t>مرآة حائط</t>
  </si>
  <si>
    <t>فاتورة مستحقة الدفع وفق الشروط المتفق عليها.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</si>
</sst>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0"/>
      <name val="Calibri"/>
    </font>
    <font>
      <b/>
      <color rgb="FF1F4E79"/>
      <sz val="12"/>
      <name val="Calibri"/>
    </font>
    <font>
      <b/>
      <sz val="9"/>
      <name val="Calibri"/>
    </font>
    <font>
      <color rgb="FF595959"/>
      <sz val="9"/>
      <name val="Calibri"/>
    </font>
    <font>
      <sz val="9"/>
      <name val="Calibri"/>
    </font>
    <font>
      <b/>
      <color rgb="FF1F4E79"/>
      <sz val="9"/>
      <name val="Calibri"/>
    </font>
    <font>
      <i/>
      <sz val="9"/>
      <name val="Calibri"/>
    </font>
    <font>
      <b/>
      <color rgb="FF1F4E79"/>
      <sz val="11"/>
      <name val="Calibri"/>
    </font>
    <font>
      <i/>
      <color rgb="FF7F7F7F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FFFAF0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right" vertical="center"/>
    </xf>
    <xf numFmtId="9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right" vertical="center"/>
    </xf>
    <xf numFmtId="4" fontId="3" fillId="6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right" vertical="top" wrapText="1"/>
    </xf>
    <xf numFmtId="0" fontId="3" fillId="5" borderId="3" xfId="0" applyFont="1" applyFill="1" applyBorder="1" applyAlignment="1">
      <alignment horizontal="right" vertical="center"/>
    </xf>
    <xf numFmtId="4" fontId="8" fillId="5" borderId="3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4" customWidth="1"/>
    <col min="3" max="3" width="12" customWidth="1"/>
    <col min="4" max="4" width="16" customWidth="1"/>
    <col min="5" max="5" width="12" customWidth="1"/>
    <col min="6" max="6" width="18" customWidth="1"/>
  </cols>
  <sheetData>
    <row r="2" spans="1:6" x14ac:dyDescent="0.25">
      <c r="A2" s="1" t="s">
        <v>0</v>
      </c>
      <c r="B2" s="1"/>
      <c r="D2" s="2" t="s">
        <v>1</v>
      </c>
      <c r="E2" s="2"/>
      <c r="F2" s="2"/>
    </row>
    <row r="3" spans="1:6" x14ac:dyDescent="0.25">
      <c r="A3" s="3" t="s">
        <v>2</v>
      </c>
      <c r="B3" s="3"/>
      <c r="D3" s="4" t="s">
        <v>3</v>
      </c>
      <c r="E3" s="4"/>
      <c r="F3" s="4"/>
    </row>
    <row r="4" spans="1:6" x14ac:dyDescent="0.25">
      <c r="A4" s="5" t="s">
        <v>4</v>
      </c>
      <c r="B4" s="5"/>
      <c r="D4" s="6" t="s">
        <v>5</v>
      </c>
      <c r="E4" s="6"/>
      <c r="F4" s="6"/>
    </row>
    <row r="5" spans="4:6" x14ac:dyDescent="0.25">
      <c r="D5" s="7" t="s">
        <v>6</v>
      </c>
      <c r="E5" s="7"/>
      <c r="F5" s="7"/>
    </row>
    <row r="6" ht="25" customHeight="1" spans="2:5" x14ac:dyDescent="0.25">
      <c r="B6" s="8" t="s">
        <v>7</v>
      </c>
      <c r="C6" s="8"/>
      <c r="D6" s="8"/>
      <c r="E6" s="8"/>
    </row>
    <row r="8" spans="1:6" x14ac:dyDescent="0.25">
      <c r="A8" s="9" t="s">
        <v>8</v>
      </c>
      <c r="B8" s="10" t="s">
        <v>9</v>
      </c>
      <c r="C8" s="10"/>
      <c r="D8" s="9" t="s">
        <v>10</v>
      </c>
      <c r="E8" s="11" t="s">
        <v>11</v>
      </c>
      <c r="F8" s="11"/>
    </row>
    <row r="9" spans="1:6" x14ac:dyDescent="0.25">
      <c r="A9" s="9" t="s">
        <v>12</v>
      </c>
      <c r="B9" s="12" t="s">
        <v>11</v>
      </c>
      <c r="C9" s="12"/>
      <c r="D9" s="9" t="s">
        <v>13</v>
      </c>
      <c r="E9" s="11" t="s">
        <v>11</v>
      </c>
      <c r="F9" s="11"/>
    </row>
    <row r="10" spans="1:6" x14ac:dyDescent="0.25">
      <c r="A10" s="9" t="s">
        <v>14</v>
      </c>
      <c r="B10" s="12" t="s">
        <v>11</v>
      </c>
      <c r="C10" s="12"/>
      <c r="D10" s="9" t="s">
        <v>15</v>
      </c>
      <c r="E10" s="11" t="s">
        <v>11</v>
      </c>
      <c r="F10" s="11"/>
    </row>
    <row r="13" ht="25" customHeight="1" spans="1:6" x14ac:dyDescent="0.25">
      <c r="A13" s="13" t="s">
        <v>16</v>
      </c>
      <c r="B13" s="13" t="s">
        <v>17</v>
      </c>
      <c r="C13" s="13" t="s">
        <v>18</v>
      </c>
      <c r="D13" s="13" t="s">
        <v>19</v>
      </c>
      <c r="E13" s="13" t="s">
        <v>20</v>
      </c>
      <c r="F13" s="13" t="s">
        <v>21</v>
      </c>
    </row>
    <row r="14" ht="20" customHeight="1" spans="1:6" x14ac:dyDescent="0.25">
      <c r="A14" s="14" t="s">
        <v>11</v>
      </c>
      <c r="B14" s="15"/>
      <c r="C14" s="16"/>
      <c r="D14" s="17">
        <f>IF(OR(B14="",C14=""),"",ROUND(B14*C14,2))</f>
      </c>
      <c r="E14" s="18">
        <v>0.15</v>
      </c>
      <c r="F14" s="17">
        <f>IF(D14="","",ROUND(D14*(1+E14),2))</f>
      </c>
    </row>
    <row r="15" ht="20" customHeight="1" spans="1:6" x14ac:dyDescent="0.25">
      <c r="A15" s="14" t="s">
        <v>11</v>
      </c>
      <c r="B15" s="15"/>
      <c r="C15" s="16"/>
      <c r="D15" s="17">
        <f>IF(OR(B15="",C15=""),"",ROUND(B15*C15,2))</f>
      </c>
      <c r="E15" s="18">
        <v>0.15</v>
      </c>
      <c r="F15" s="17">
        <f>IF(D15="","",ROUND(D15*(1+E15),2))</f>
      </c>
    </row>
    <row r="16" ht="20" customHeight="1" spans="1:6" x14ac:dyDescent="0.25">
      <c r="A16" s="14" t="s">
        <v>11</v>
      </c>
      <c r="B16" s="15"/>
      <c r="C16" s="16"/>
      <c r="D16" s="17">
        <f>IF(OR(B16="",C16=""),"",ROUND(B16*C16,2))</f>
      </c>
      <c r="E16" s="18">
        <v>0.15</v>
      </c>
      <c r="F16" s="17">
        <f>IF(D16="","",ROUND(D16*(1+E16),2))</f>
      </c>
    </row>
    <row r="17" ht="20" customHeight="1" spans="1:6" x14ac:dyDescent="0.25">
      <c r="A17" s="14" t="s">
        <v>11</v>
      </c>
      <c r="B17" s="15"/>
      <c r="C17" s="16"/>
      <c r="D17" s="17">
        <f>IF(OR(B17="",C17=""),"",ROUND(B17*C17,2))</f>
      </c>
      <c r="E17" s="18">
        <v>0.15</v>
      </c>
      <c r="F17" s="17">
        <f>IF(D17="","",ROUND(D17*(1+E17),2))</f>
      </c>
    </row>
    <row r="18" ht="20" customHeight="1" spans="1:6" x14ac:dyDescent="0.25">
      <c r="A18" s="14" t="s">
        <v>11</v>
      </c>
      <c r="B18" s="15"/>
      <c r="C18" s="16"/>
      <c r="D18" s="17">
        <f>IF(OR(B18="",C18=""),"",ROUND(B18*C18,2))</f>
      </c>
      <c r="E18" s="18">
        <v>0.15</v>
      </c>
      <c r="F18" s="17">
        <f>IF(D18="","",ROUND(D18*(1+E18),2))</f>
      </c>
    </row>
    <row r="19" ht="20" customHeight="1" spans="1:6" x14ac:dyDescent="0.25">
      <c r="A19" s="14" t="s">
        <v>11</v>
      </c>
      <c r="B19" s="15"/>
      <c r="C19" s="16"/>
      <c r="D19" s="17">
        <f>IF(OR(B19="",C19=""),"",ROUND(B19*C19,2))</f>
      </c>
      <c r="E19" s="18">
        <v>0.15</v>
      </c>
      <c r="F19" s="17">
        <f>IF(D19="","",ROUND(D19*(1+E19),2))</f>
      </c>
    </row>
    <row r="20" ht="20" customHeight="1" spans="1:6" x14ac:dyDescent="0.25">
      <c r="A20" s="14" t="s">
        <v>11</v>
      </c>
      <c r="B20" s="15"/>
      <c r="C20" s="16"/>
      <c r="D20" s="17">
        <f>IF(OR(B20="",C20=""),"",ROUND(B20*C20,2))</f>
      </c>
      <c r="E20" s="18">
        <v>0.15</v>
      </c>
      <c r="F20" s="17">
        <f>IF(D20="","",ROUND(D20*(1+E20),2))</f>
      </c>
    </row>
    <row r="21" ht="20" customHeight="1" spans="1:6" x14ac:dyDescent="0.25">
      <c r="A21" s="14" t="s">
        <v>11</v>
      </c>
      <c r="B21" s="15"/>
      <c r="C21" s="16"/>
      <c r="D21" s="17">
        <f>IF(OR(B21="",C21=""),"",ROUND(B21*C21,2))</f>
      </c>
      <c r="E21" s="18">
        <v>0.15</v>
      </c>
      <c r="F21" s="17">
        <f>IF(D21="","",ROUND(D21*(1+E21),2))</f>
      </c>
    </row>
    <row r="22" ht="20" customHeight="1" spans="1:6" x14ac:dyDescent="0.25">
      <c r="A22" s="14" t="s">
        <v>11</v>
      </c>
      <c r="B22" s="15"/>
      <c r="C22" s="16"/>
      <c r="D22" s="17">
        <f>IF(OR(B22="",C22=""),"",ROUND(B22*C22,2))</f>
      </c>
      <c r="E22" s="18">
        <v>0.15</v>
      </c>
      <c r="F22" s="17">
        <f>IF(D22="","",ROUND(D22*(1+E22),2))</f>
      </c>
    </row>
    <row r="23" ht="20" customHeight="1" spans="1:6" x14ac:dyDescent="0.25">
      <c r="A23" s="14" t="s">
        <v>11</v>
      </c>
      <c r="B23" s="15"/>
      <c r="C23" s="16"/>
      <c r="D23" s="17">
        <f>IF(OR(B23="",C23=""),"",ROUND(B23*C23,2))</f>
      </c>
      <c r="E23" s="18">
        <v>0.15</v>
      </c>
      <c r="F23" s="17">
        <f>IF(D23="","",ROUND(D23*(1+E23),2))</f>
      </c>
    </row>
    <row r="24" ht="20" customHeight="1" spans="1:6" x14ac:dyDescent="0.25">
      <c r="A24" s="14" t="s">
        <v>11</v>
      </c>
      <c r="B24" s="15"/>
      <c r="C24" s="16"/>
      <c r="D24" s="17">
        <f>IF(OR(B24="",C24=""),"",ROUND(B24*C24,2))</f>
      </c>
      <c r="E24" s="18">
        <v>0.15</v>
      </c>
      <c r="F24" s="17">
        <f>IF(D24="","",ROUND(D24*(1+E24),2))</f>
      </c>
    </row>
    <row r="25" ht="20" customHeight="1" spans="1:6" x14ac:dyDescent="0.25">
      <c r="A25" s="14" t="s">
        <v>11</v>
      </c>
      <c r="B25" s="15"/>
      <c r="C25" s="16"/>
      <c r="D25" s="17">
        <f>IF(OR(B25="",C25=""),"",ROUND(B25*C25,2))</f>
      </c>
      <c r="E25" s="18">
        <v>0.15</v>
      </c>
      <c r="F25" s="17">
        <f>IF(D25="","",ROUND(D25*(1+E25),2))</f>
      </c>
    </row>
    <row r="26" ht="20" customHeight="1" spans="1:6" x14ac:dyDescent="0.25">
      <c r="A26" s="14" t="s">
        <v>11</v>
      </c>
      <c r="B26" s="15"/>
      <c r="C26" s="16"/>
      <c r="D26" s="17">
        <f>IF(OR(B26="",C26=""),"",ROUND(B26*C26,2))</f>
      </c>
      <c r="E26" s="18">
        <v>0.15</v>
      </c>
      <c r="F26" s="17">
        <f>IF(D26="","",ROUND(D26*(1+E26),2))</f>
      </c>
    </row>
    <row r="27" ht="20" customHeight="1" spans="1:6" x14ac:dyDescent="0.25">
      <c r="A27" s="14" t="s">
        <v>11</v>
      </c>
      <c r="B27" s="15"/>
      <c r="C27" s="16"/>
      <c r="D27" s="17">
        <f>IF(OR(B27="",C27=""),"",ROUND(B27*C27,2))</f>
      </c>
      <c r="E27" s="18">
        <v>0.15</v>
      </c>
      <c r="F27" s="17">
        <f>IF(D27="","",ROUND(D27*(1+E27),2))</f>
      </c>
    </row>
    <row r="28" ht="20" customHeight="1" spans="1:6" x14ac:dyDescent="0.25">
      <c r="A28" s="14" t="s">
        <v>11</v>
      </c>
      <c r="B28" s="15"/>
      <c r="C28" s="16"/>
      <c r="D28" s="17">
        <f>IF(OR(B28="",C28=""),"",ROUND(B28*C28,2))</f>
      </c>
      <c r="E28" s="18">
        <v>0.15</v>
      </c>
      <c r="F28" s="17">
        <f>IF(D28="","",ROUND(D28*(1+E28),2))</f>
      </c>
    </row>
    <row r="30" spans="2:6" x14ac:dyDescent="0.25">
      <c r="B30" s="19" t="s">
        <v>22</v>
      </c>
      <c r="C30" s="19"/>
      <c r="D30" s="20" t="s">
        <v>19</v>
      </c>
      <c r="E30" s="20"/>
      <c r="F30" s="21">
        <f>SUM(D14:D28)</f>
      </c>
    </row>
    <row r="31" spans="2:6" x14ac:dyDescent="0.25">
      <c r="B31" s="22" t="s">
        <v>23</v>
      </c>
      <c r="C31" s="22"/>
      <c r="D31" s="20" t="s">
        <v>24</v>
      </c>
      <c r="E31" s="20"/>
      <c r="F31" s="21">
        <v>0</v>
      </c>
    </row>
    <row r="32" spans="2:6" x14ac:dyDescent="0.25">
      <c r="B32" s="22"/>
      <c r="C32" s="22"/>
      <c r="D32" s="20" t="s">
        <v>25</v>
      </c>
      <c r="E32" s="20"/>
      <c r="F32" s="21">
        <f>ROUND(E30*0.15,2)</f>
      </c>
    </row>
    <row r="33" spans="2:6" x14ac:dyDescent="0.25">
      <c r="B33" s="22"/>
      <c r="C33" s="22"/>
      <c r="D33" s="23" t="s">
        <v>26</v>
      </c>
      <c r="E33" s="23"/>
      <c r="F33" s="24">
        <f>E30-E31+E32</f>
      </c>
    </row>
    <row r="34" spans="2:3" x14ac:dyDescent="0.25">
      <c r="B34" s="22"/>
      <c r="C34" s="22"/>
    </row>
    <row r="36" spans="1:6" x14ac:dyDescent="0.25">
      <c r="A36" s="25" t="s">
        <v>27</v>
      </c>
      <c r="B36" s="25"/>
      <c r="C36" s="25"/>
      <c r="D36" s="25"/>
      <c r="E36" s="25"/>
      <c r="F36" s="25"/>
    </row>
  </sheetData>
  <mergeCells count="21">
    <mergeCell ref="A2:B2"/>
    <mergeCell ref="D2:F2"/>
    <mergeCell ref="A3:B3"/>
    <mergeCell ref="D3:F3"/>
    <mergeCell ref="A4:B4"/>
    <mergeCell ref="D4:F4"/>
    <mergeCell ref="D5:F5"/>
    <mergeCell ref="B6:E6"/>
    <mergeCell ref="B8:C8"/>
    <mergeCell ref="E8:F8"/>
    <mergeCell ref="B9:C9"/>
    <mergeCell ref="E9:F9"/>
    <mergeCell ref="B10:C10"/>
    <mergeCell ref="E10:F10"/>
    <mergeCell ref="B30:C30"/>
    <mergeCell ref="D30:E30"/>
    <mergeCell ref="B31:C34"/>
    <mergeCell ref="D31:E31"/>
    <mergeCell ref="D32:E32"/>
    <mergeCell ref="D33:E33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4" customWidth="1"/>
    <col min="3" max="3" width="12" customWidth="1"/>
    <col min="4" max="4" width="16" customWidth="1"/>
    <col min="5" max="5" width="12" customWidth="1"/>
    <col min="6" max="6" width="18" customWidth="1"/>
  </cols>
  <sheetData>
    <row r="2" spans="1:6" x14ac:dyDescent="0.25">
      <c r="A2" s="1" t="s">
        <v>0</v>
      </c>
      <c r="B2" s="1"/>
      <c r="D2" s="2" t="s">
        <v>1</v>
      </c>
      <c r="E2" s="2"/>
      <c r="F2" s="2"/>
    </row>
    <row r="3" spans="1:6" x14ac:dyDescent="0.25">
      <c r="A3" s="3" t="s">
        <v>2</v>
      </c>
      <c r="B3" s="3"/>
      <c r="D3" s="4" t="s">
        <v>3</v>
      </c>
      <c r="E3" s="4"/>
      <c r="F3" s="4"/>
    </row>
    <row r="4" spans="1:6" x14ac:dyDescent="0.25">
      <c r="A4" s="5" t="s">
        <v>4</v>
      </c>
      <c r="B4" s="5"/>
      <c r="D4" s="6" t="s">
        <v>5</v>
      </c>
      <c r="E4" s="6"/>
      <c r="F4" s="6"/>
    </row>
    <row r="5" spans="4:6" x14ac:dyDescent="0.25">
      <c r="D5" s="7" t="s">
        <v>6</v>
      </c>
      <c r="E5" s="7"/>
      <c r="F5" s="7"/>
    </row>
    <row r="6" ht="25" customHeight="1" spans="2:5" x14ac:dyDescent="0.25">
      <c r="B6" s="8" t="s">
        <v>7</v>
      </c>
      <c r="C6" s="8"/>
      <c r="D6" s="8"/>
      <c r="E6" s="8"/>
    </row>
    <row r="8" spans="1:6" x14ac:dyDescent="0.25">
      <c r="A8" s="9" t="s">
        <v>8</v>
      </c>
      <c r="B8" s="10" t="s">
        <v>9</v>
      </c>
      <c r="C8" s="10"/>
      <c r="D8" s="9" t="s">
        <v>10</v>
      </c>
      <c r="E8" s="26" t="s">
        <v>28</v>
      </c>
      <c r="F8" s="26"/>
    </row>
    <row r="9" spans="1:6" x14ac:dyDescent="0.25">
      <c r="A9" s="9" t="s">
        <v>12</v>
      </c>
      <c r="B9" s="10" t="s">
        <v>29</v>
      </c>
      <c r="C9" s="10"/>
      <c r="D9" s="9" t="s">
        <v>13</v>
      </c>
      <c r="E9" s="26" t="s">
        <v>30</v>
      </c>
      <c r="F9" s="26"/>
    </row>
    <row r="10" spans="1:6" x14ac:dyDescent="0.25">
      <c r="A10" s="9" t="s">
        <v>14</v>
      </c>
      <c r="B10" s="10" t="s">
        <v>31</v>
      </c>
      <c r="C10" s="10"/>
      <c r="D10" s="9" t="s">
        <v>15</v>
      </c>
      <c r="E10" s="26" t="s">
        <v>32</v>
      </c>
      <c r="F10" s="26"/>
    </row>
    <row r="13" ht="25" customHeight="1" spans="1:6" x14ac:dyDescent="0.25">
      <c r="A13" s="13" t="s">
        <v>16</v>
      </c>
      <c r="B13" s="13" t="s">
        <v>17</v>
      </c>
      <c r="C13" s="13" t="s">
        <v>18</v>
      </c>
      <c r="D13" s="13" t="s">
        <v>19</v>
      </c>
      <c r="E13" s="13" t="s">
        <v>20</v>
      </c>
      <c r="F13" s="13" t="s">
        <v>21</v>
      </c>
    </row>
    <row r="14" ht="20" customHeight="1" spans="1:6" x14ac:dyDescent="0.25">
      <c r="A14" s="26" t="s">
        <v>33</v>
      </c>
      <c r="B14" s="17">
        <v>26</v>
      </c>
      <c r="C14" s="27">
        <v>60</v>
      </c>
      <c r="D14" s="17">
        <f>IF(OR(B14="",C14=""),"",ROUND(B14*C14,2))</f>
      </c>
      <c r="E14" s="18">
        <v>0.15</v>
      </c>
      <c r="F14" s="17">
        <f>IF(D14="","",ROUND(D14*(1+E14),2))</f>
      </c>
    </row>
    <row r="15" ht="20" customHeight="1" spans="1:6" x14ac:dyDescent="0.25">
      <c r="A15" s="26" t="s">
        <v>34</v>
      </c>
      <c r="B15" s="17">
        <v>35</v>
      </c>
      <c r="C15" s="27">
        <v>75</v>
      </c>
      <c r="D15" s="17">
        <f>IF(OR(B15="",C15=""),"",ROUND(B15*C15,2))</f>
      </c>
      <c r="E15" s="18">
        <v>0.15</v>
      </c>
      <c r="F15" s="17">
        <f>IF(D15="","",ROUND(D15*(1+E15),2))</f>
      </c>
    </row>
    <row r="16" ht="20" customHeight="1" spans="1:6" x14ac:dyDescent="0.25">
      <c r="A16" s="26" t="s">
        <v>35</v>
      </c>
      <c r="B16" s="17">
        <v>12</v>
      </c>
      <c r="C16" s="27">
        <v>90</v>
      </c>
      <c r="D16" s="17">
        <f>IF(OR(B16="",C16=""),"",ROUND(B16*C16,2))</f>
      </c>
      <c r="E16" s="18">
        <v>0.15</v>
      </c>
      <c r="F16" s="17">
        <f>IF(D16="","",ROUND(D16*(1+E16),2))</f>
      </c>
    </row>
    <row r="17" ht="20" customHeight="1" spans="1:6" x14ac:dyDescent="0.25">
      <c r="A17" s="26" t="s">
        <v>36</v>
      </c>
      <c r="B17" s="17">
        <v>0.6</v>
      </c>
      <c r="C17" s="27">
        <v>950</v>
      </c>
      <c r="D17" s="17">
        <f>IF(OR(B17="",C17=""),"",ROUND(B17*C17,2))</f>
      </c>
      <c r="E17" s="18">
        <v>0.15</v>
      </c>
      <c r="F17" s="17">
        <f>IF(D17="","",ROUND(D17*(1+E17),2))</f>
      </c>
    </row>
    <row r="18" ht="20" customHeight="1" spans="1:6" x14ac:dyDescent="0.25">
      <c r="A18" s="26" t="s">
        <v>37</v>
      </c>
      <c r="B18" s="17">
        <v>65</v>
      </c>
      <c r="C18" s="27">
        <v>50</v>
      </c>
      <c r="D18" s="17">
        <f>IF(OR(B18="",C18=""),"",ROUND(B18*C18,2))</f>
      </c>
      <c r="E18" s="18">
        <v>0.15</v>
      </c>
      <c r="F18" s="17">
        <f>IF(D18="","",ROUND(D18*(1+E18),2))</f>
      </c>
    </row>
    <row r="19" ht="20" customHeight="1" spans="1:6" x14ac:dyDescent="0.25">
      <c r="A19" s="26" t="s">
        <v>38</v>
      </c>
      <c r="B19" s="17">
        <v>55</v>
      </c>
      <c r="C19" s="27">
        <v>68</v>
      </c>
      <c r="D19" s="17">
        <f>IF(OR(B19="",C19=""),"",ROUND(B19*C19,2))</f>
      </c>
      <c r="E19" s="18">
        <v>0.15</v>
      </c>
      <c r="F19" s="17">
        <f>IF(D19="","",ROUND(D19*(1+E19),2))</f>
      </c>
    </row>
    <row r="20" ht="20" customHeight="1" spans="1:6" x14ac:dyDescent="0.25">
      <c r="A20" s="26" t="s">
        <v>39</v>
      </c>
      <c r="B20" s="17">
        <v>11</v>
      </c>
      <c r="C20" s="27">
        <v>110</v>
      </c>
      <c r="D20" s="17">
        <f>IF(OR(B20="",C20=""),"",ROUND(B20*C20,2))</f>
      </c>
      <c r="E20" s="18">
        <v>0.15</v>
      </c>
      <c r="F20" s="17">
        <f>IF(D20="","",ROUND(D20*(1+E20),2))</f>
      </c>
    </row>
    <row r="21" ht="20" customHeight="1" spans="1:6" x14ac:dyDescent="0.25">
      <c r="A21" s="26" t="s">
        <v>40</v>
      </c>
      <c r="B21" s="17">
        <v>90</v>
      </c>
      <c r="C21" s="27">
        <v>48</v>
      </c>
      <c r="D21" s="17">
        <f>IF(OR(B21="",C21=""),"",ROUND(B21*C21,2))</f>
      </c>
      <c r="E21" s="18">
        <v>0.15</v>
      </c>
      <c r="F21" s="17">
        <f>IF(D21="","",ROUND(D21*(1+E21),2))</f>
      </c>
    </row>
    <row r="22" ht="20" customHeight="1" spans="1:6" x14ac:dyDescent="0.25">
      <c r="A22" s="26" t="s">
        <v>41</v>
      </c>
      <c r="B22" s="17">
        <v>6</v>
      </c>
      <c r="C22" s="27">
        <v>90</v>
      </c>
      <c r="D22" s="17">
        <f>IF(OR(B22="",C22=""),"",ROUND(B22*C22,2))</f>
      </c>
      <c r="E22" s="18">
        <v>0.15</v>
      </c>
      <c r="F22" s="17">
        <f>IF(D22="","",ROUND(D22*(1+E22),2))</f>
      </c>
    </row>
    <row r="23" ht="20" customHeight="1" spans="1:6" x14ac:dyDescent="0.25">
      <c r="A23" s="26" t="s">
        <v>42</v>
      </c>
      <c r="B23" s="17">
        <v>40</v>
      </c>
      <c r="C23" s="27">
        <v>100</v>
      </c>
      <c r="D23" s="17">
        <f>IF(OR(B23="",C23=""),"",ROUND(B23*C23,2))</f>
      </c>
      <c r="E23" s="18">
        <v>0.15</v>
      </c>
      <c r="F23" s="17">
        <f>IF(D23="","",ROUND(D23*(1+E23),2))</f>
      </c>
    </row>
    <row r="24" ht="20" customHeight="1" spans="1:6" x14ac:dyDescent="0.25">
      <c r="A24" s="26" t="s">
        <v>11</v>
      </c>
      <c r="B24" s="17"/>
      <c r="C24" s="27"/>
      <c r="D24" s="17">
        <f>IF(OR(B24="",C24=""),"",ROUND(B24*C24,2))</f>
      </c>
      <c r="E24" s="18">
        <v>0.15</v>
      </c>
      <c r="F24" s="17">
        <f>IF(D24="","",ROUND(D24*(1+E24),2))</f>
      </c>
    </row>
    <row r="25" ht="20" customHeight="1" spans="1:6" x14ac:dyDescent="0.25">
      <c r="A25" s="26" t="s">
        <v>11</v>
      </c>
      <c r="B25" s="17"/>
      <c r="C25" s="27"/>
      <c r="D25" s="17">
        <f>IF(OR(B25="",C25=""),"",ROUND(B25*C25,2))</f>
      </c>
      <c r="E25" s="18">
        <v>0.15</v>
      </c>
      <c r="F25" s="17">
        <f>IF(D25="","",ROUND(D25*(1+E25),2))</f>
      </c>
    </row>
    <row r="26" ht="20" customHeight="1" spans="1:6" x14ac:dyDescent="0.25">
      <c r="A26" s="26" t="s">
        <v>11</v>
      </c>
      <c r="B26" s="17"/>
      <c r="C26" s="27"/>
      <c r="D26" s="17">
        <f>IF(OR(B26="",C26=""),"",ROUND(B26*C26,2))</f>
      </c>
      <c r="E26" s="18">
        <v>0.15</v>
      </c>
      <c r="F26" s="17">
        <f>IF(D26="","",ROUND(D26*(1+E26),2))</f>
      </c>
    </row>
    <row r="27" ht="20" customHeight="1" spans="1:6" x14ac:dyDescent="0.25">
      <c r="A27" s="26" t="s">
        <v>11</v>
      </c>
      <c r="B27" s="17"/>
      <c r="C27" s="27"/>
      <c r="D27" s="17">
        <f>IF(OR(B27="",C27=""),"",ROUND(B27*C27,2))</f>
      </c>
      <c r="E27" s="18">
        <v>0.15</v>
      </c>
      <c r="F27" s="17">
        <f>IF(D27="","",ROUND(D27*(1+E27),2))</f>
      </c>
    </row>
    <row r="28" ht="20" customHeight="1" spans="1:6" x14ac:dyDescent="0.25">
      <c r="A28" s="26" t="s">
        <v>11</v>
      </c>
      <c r="B28" s="17"/>
      <c r="C28" s="27"/>
      <c r="D28" s="17">
        <f>IF(OR(B28="",C28=""),"",ROUND(B28*C28,2))</f>
      </c>
      <c r="E28" s="18">
        <v>0.15</v>
      </c>
      <c r="F28" s="17">
        <f>IF(D28="","",ROUND(D28*(1+E28),2))</f>
      </c>
    </row>
    <row r="30" spans="2:6" x14ac:dyDescent="0.25">
      <c r="B30" s="19" t="s">
        <v>22</v>
      </c>
      <c r="C30" s="19"/>
      <c r="D30" s="20" t="s">
        <v>19</v>
      </c>
      <c r="E30" s="20"/>
      <c r="F30" s="21">
        <f>SUM(D14:D28)</f>
      </c>
    </row>
    <row r="31" spans="2:6" x14ac:dyDescent="0.25">
      <c r="B31" s="22" t="s">
        <v>43</v>
      </c>
      <c r="C31" s="22"/>
      <c r="D31" s="20" t="s">
        <v>24</v>
      </c>
      <c r="E31" s="20"/>
      <c r="F31" s="21">
        <v>0</v>
      </c>
    </row>
    <row r="32" spans="2:6" x14ac:dyDescent="0.25">
      <c r="B32" s="22"/>
      <c r="C32" s="22"/>
      <c r="D32" s="20" t="s">
        <v>25</v>
      </c>
      <c r="E32" s="20"/>
      <c r="F32" s="21">
        <f>ROUND(E30*0.15,2)</f>
      </c>
    </row>
    <row r="33" spans="2:6" x14ac:dyDescent="0.25">
      <c r="B33" s="22"/>
      <c r="C33" s="22"/>
      <c r="D33" s="23" t="s">
        <v>26</v>
      </c>
      <c r="E33" s="23"/>
      <c r="F33" s="24">
        <f>E30-E31+E32</f>
      </c>
    </row>
    <row r="34" spans="2:3" x14ac:dyDescent="0.25">
      <c r="B34" s="22"/>
      <c r="C34" s="22"/>
    </row>
    <row r="36" spans="1:6" x14ac:dyDescent="0.25">
      <c r="A36" s="25" t="s">
        <v>27</v>
      </c>
      <c r="B36" s="25"/>
      <c r="C36" s="25"/>
      <c r="D36" s="25"/>
      <c r="E36" s="25"/>
      <c r="F36" s="25"/>
    </row>
  </sheetData>
  <mergeCells count="21">
    <mergeCell ref="A2:B2"/>
    <mergeCell ref="D2:F2"/>
    <mergeCell ref="A3:B3"/>
    <mergeCell ref="D3:F3"/>
    <mergeCell ref="A4:B4"/>
    <mergeCell ref="D4:F4"/>
    <mergeCell ref="D5:F5"/>
    <mergeCell ref="B6:E6"/>
    <mergeCell ref="B8:C8"/>
    <mergeCell ref="E8:F8"/>
    <mergeCell ref="B9:C9"/>
    <mergeCell ref="E9:F9"/>
    <mergeCell ref="B10:C10"/>
    <mergeCell ref="E10:F10"/>
    <mergeCell ref="B30:C30"/>
    <mergeCell ref="D30:E30"/>
    <mergeCell ref="B31:C34"/>
    <mergeCell ref="D31:E31"/>
    <mergeCell ref="D32:E32"/>
    <mergeCell ref="D33:E33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