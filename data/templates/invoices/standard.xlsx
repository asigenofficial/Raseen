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b45369196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فاتورة" sheetId="1" r:id="R97bb2282f3e9443d"/>
    <x:sheet xmlns:r="http://schemas.openxmlformats.org/officeDocument/2006/relationships" name="المتطلبات" sheetId="2" r:id="R56e19934c11044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000"/>
    <x:numFmt numFmtId="202" formatCode="00000"/>
    <x:numFmt numFmtId="203" formatCode="yyyy-mm-dd"/>
    <x:numFmt numFmtId="204" formatCode="#,##0.00"/>
    <x:numFmt numFmtId="205" formatCode="0%"/>
    <x:numFmt numFmtId="206" formatCode="00"/>
  </x:numFmts>
  <x:fonts count="11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475569"/>
      <x:name val="Arial"/>
    </x:font>
    <x:font>
      <x:i/>
      <x:sz val="10"/>
      <x:color rgb="FF475569"/>
      <x:name val="Arial"/>
    </x:font>
    <x:font>
      <x:b/>
      <x:sz val="15"/>
      <x:color rgb="FFFFFFFF"/>
      <x:name val="Arial"/>
    </x:font>
    <x:font>
      <x:b/>
      <x:sz val="10"/>
      <x:color rgb="FF9A341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2E8F0"/>
      </x:patternFill>
    </x:fill>
  </x:fills>
  <x:borders count="32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bottom style="thin">
        <x:color rgb="FFC8D0D9"/>
      </x:bottom>
    </x:border>
    <x:border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top style="thin">
        <x:color rgb="FFC8D0D9"/>
      </x:top>
      <x:bottom style="thin">
        <x:color rgb="FFC8D0D9"/>
      </x:bottom>
    </x:border>
    <x:border>
      <x:right style="thin">
        <x:color rgb="FFC8D0D9"/>
      </x:right>
      <x:top style="thin">
        <x:color rgb="FFC8D0D9"/>
      </x:top>
    </x:border>
    <x:border>
      <x:left style="thin">
        <x:color rgb="FFC8D0D9"/>
      </x:left>
      <x:right style="thin">
        <x:color rgb="FFC8D0D9"/>
      </x:right>
      <x:top style="thin">
        <x:color rgb="FFC8D0D9"/>
      </x:top>
    </x:border>
    <x:border>
      <x:left style="thin">
        <x:color rgb="FFC8D0D9"/>
      </x:left>
      <x:top style="thin">
        <x:color rgb="FFC8D0D9"/>
      </x:top>
    </x:border>
    <x:border>
      <x:left style="medium">
        <x:color rgb="FF0F766E"/>
      </x:left>
      <x:top style="medium">
        <x:color rgb="FF0F766E"/>
      </x:top>
    </x:border>
    <x:border>
      <x:top style="medium">
        <x:color rgb="FF0F766E"/>
      </x:top>
    </x:border>
    <x:border>
      <x:right style="medium">
        <x:color rgb="FF0F766E"/>
      </x:right>
      <x:top style="medium">
        <x:color rgb="FF0F766E"/>
      </x:top>
    </x:border>
    <x:border>
      <x:left style="medium">
        <x:color rgb="FF0F766E"/>
      </x:left>
    </x:border>
    <x:border>
      <x:right style="medium">
        <x:color rgb="FF0F766E"/>
      </x:right>
    </x:border>
    <x:border>
      <x:left style="medium">
        <x:color rgb="FF0F766E"/>
      </x:left>
      <x:bottom style="medium">
        <x:color rgb="FF0F766E"/>
      </x:bottom>
    </x:border>
    <x:border>
      <x:bottom style="medium">
        <x:color rgb="FF0F766E"/>
      </x:bottom>
    </x:border>
    <x:border>
      <x:right style="medium">
        <x:color rgb="FF0F766E"/>
      </x:right>
      <x:bottom style="medium">
        <x:color rgb="FF0F766E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1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4" xfId="0" applyNumberFormat="1" applyFont="1" applyFill="1" applyBorder="1"/>
    <x:xf numFmtId="200" fontId="1" fillId="3" borderId="5" xfId="0" applyNumberFormat="1" applyFont="1" applyFill="1" applyBorder="1"/>
    <x:xf numFmtId="200" fontId="1" fillId="3" borderId="6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7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3" borderId="7" xfId="0" applyNumberFormat="1" applyFont="1" applyFill="1" applyBorder="1"/>
    <x:xf numFmtId="203" fontId="1" fillId="3" borderId="4" xfId="0" applyNumberFormat="1" applyFont="1" applyFill="1" applyBorder="1"/>
    <x:xf numFmtId="203" fontId="1" fillId="3" borderId="5" xfId="0" applyNumberFormat="1" applyFont="1" applyFill="1" applyBorder="1"/>
    <x:xf numFmtId="203" fontId="1" fillId="3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8" xfId="0" applyNumberFormat="1" applyFont="1" applyFill="1" applyBorder="1"/>
    <x:xf numFmtId="0" fontId="4" fillId="2" borderId="8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3" borderId="10" xfId="0" applyNumberFormat="1" applyFont="1" applyFill="1" applyBorder="1"/>
    <x:xf numFmtId="0" fontId="1" fillId="3" borderId="13" xfId="0" applyNumberFormat="1" applyFont="1" applyFill="1" applyBorder="1"/>
    <x:xf numFmtId="0" fontId="1" fillId="3" borderId="16" xfId="0" applyNumberFormat="1" applyFont="1" applyFill="1" applyBorder="1"/>
    <x:xf numFmtId="0" fontId="1" fillId="4" borderId="10" xfId="0" applyNumberFormat="1" applyFont="1" applyFill="1" applyBorder="1"/>
    <x:xf numFmtId="0" fontId="1" fillId="4" borderId="13" xfId="0" applyNumberFormat="1" applyFont="1" applyFill="1" applyBorder="1"/>
    <x:xf numFmtId="0" fontId="1" fillId="4" borderId="16" xfId="0" applyNumberFormat="1" applyFont="1" applyFill="1" applyBorder="1"/>
    <x:xf numFmtId="0" fontId="1" fillId="4" borderId="11" xfId="0" applyNumberFormat="1" applyFont="1" applyFill="1" applyBorder="1"/>
    <x:xf numFmtId="0" fontId="1" fillId="4" borderId="14" xfId="0" applyNumberFormat="1" applyFont="1" applyFill="1" applyBorder="1"/>
    <x:xf numFmtId="0" fontId="1" fillId="4" borderId="17" xfId="0" applyNumberFormat="1" applyFont="1" applyFill="1" applyBorder="1"/>
    <x:xf numFmtId="204" fontId="1" fillId="3" borderId="10" xfId="0" applyNumberFormat="1" applyFont="1" applyFill="1" applyBorder="1"/>
    <x:xf numFmtId="204" fontId="1" fillId="3" borderId="13" xfId="0" applyNumberFormat="1" applyFont="1" applyFill="1" applyBorder="1"/>
    <x:xf numFmtId="204" fontId="1" fillId="3" borderId="16" xfId="0" applyNumberFormat="1" applyFont="1" applyFill="1" applyBorder="1"/>
    <x:xf numFmtId="204" fontId="1" fillId="4" borderId="10" xfId="0" applyNumberFormat="1" applyFont="1" applyFill="1" applyBorder="1"/>
    <x:xf numFmtId="204" fontId="1" fillId="4" borderId="13" xfId="0" applyNumberFormat="1" applyFont="1" applyFill="1" applyBorder="1"/>
    <x:xf numFmtId="204" fontId="1" fillId="4" borderId="16" xfId="0" applyNumberFormat="1" applyFont="1" applyFill="1" applyBorder="1"/>
    <x:xf numFmtId="205" fontId="1" fillId="3" borderId="10" xfId="0" applyNumberFormat="1" applyFont="1" applyFill="1" applyBorder="1"/>
    <x:xf numFmtId="205" fontId="1" fillId="3" borderId="13" xfId="0" applyNumberFormat="1" applyFont="1" applyFill="1" applyBorder="1"/>
    <x:xf numFmtId="205" fontId="1" fillId="3" borderId="16" xfId="0" applyNumberFormat="1" applyFont="1" applyFill="1" applyBorder="1"/>
    <x:xf numFmtId="204" fontId="1" fillId="4" borderId="11" xfId="0" applyNumberFormat="1" applyFont="1" applyFill="1" applyBorder="1"/>
    <x:xf numFmtId="204" fontId="1" fillId="4" borderId="14" xfId="0" applyNumberFormat="1" applyFont="1" applyFill="1" applyBorder="1"/>
    <x:xf numFmtId="204" fontId="1" fillId="4" borderId="17" xfId="0" applyNumberFormat="1" applyFont="1" applyFill="1" applyBorder="1"/>
    <x:xf numFmtId="0" fontId="5" fillId="0" borderId="0" xfId="0" applyNumberFormat="1" applyFont="1" applyFill="1" applyBorder="1"/>
    <x:xf numFmtId="0" fontId="1" fillId="3" borderId="7" xfId="0" applyNumberFormat="1" applyFont="1" applyFill="1" applyBorder="1"/>
    <x:xf numFmtId="204" fontId="1" fillId="0" borderId="0" xfId="0" applyNumberFormat="1" applyFont="1" applyFill="1" applyBorder="1"/>
    <x:xf numFmtId="204" fontId="1" fillId="3" borderId="7" xfId="0" applyNumberFormat="1" applyFont="1" applyFill="1" applyBorder="1"/>
    <x:xf numFmtId="204" fontId="1" fillId="4" borderId="0" xfId="0" applyNumberFormat="1" applyFont="1" applyFill="1" applyBorder="1"/>
    <x:xf numFmtId="204" fontId="1" fillId="2" borderId="0" xfId="0" applyNumberFormat="1" applyFont="1" applyFill="1" applyBorder="1"/>
    <x:xf numFmtId="204" fontId="6" fillId="2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20" xfId="0" applyNumberFormat="1" applyFont="1" applyFill="1" applyBorder="1"/>
    <x:xf numFmtId="0" fontId="7" fillId="5" borderId="21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24" xfId="0" applyNumberFormat="1" applyFont="1" applyFill="1" applyBorder="1"/>
    <x:xf numFmtId="0" fontId="7" fillId="5" borderId="25" xfId="0" applyNumberFormat="1" applyFont="1" applyFill="1" applyBorder="1"/>
    <x:xf numFmtId="0" fontId="7" fillId="5" borderId="18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wrapText="1"/>
    </x:xf>
    <x:xf numFmtId="0" fontId="7" fillId="5" borderId="20" xfId="0" applyNumberFormat="1" applyFont="1" applyFill="1" applyBorder="1" applyAlignment="1">
      <x:alignment wrapText="1"/>
    </x:xf>
    <x:xf numFmtId="0" fontId="7" fillId="5" borderId="2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7" fillId="5" borderId="24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horizontal="center" wrapText="1"/>
    </x:xf>
    <x:xf numFmtId="0" fontId="7" fillId="5" borderId="19" xfId="0" applyNumberFormat="1" applyFont="1" applyFill="1" applyBorder="1" applyAlignment="1">
      <x:alignment horizontal="center" wrapText="1"/>
    </x:xf>
    <x:xf numFmtId="0" fontId="7" fillId="5" borderId="20" xfId="0" applyNumberFormat="1" applyFont="1" applyFill="1" applyBorder="1" applyAlignment="1">
      <x:alignment horizontal="center" wrapText="1"/>
    </x:xf>
    <x:xf numFmtId="0" fontId="7" fillId="5" borderId="21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22" xfId="0" applyNumberFormat="1" applyFont="1" applyFill="1" applyBorder="1" applyAlignment="1">
      <x:alignment horizontal="center" wrapText="1"/>
    </x:xf>
    <x:xf numFmtId="0" fontId="7" fillId="5" borderId="23" xfId="0" applyNumberFormat="1" applyFont="1" applyFill="1" applyBorder="1" applyAlignment="1">
      <x:alignment horizontal="center" wrapText="1"/>
    </x:xf>
    <x:xf numFmtId="0" fontId="7" fillId="5" borderId="24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18" xfId="0" applyNumberFormat="1" applyFont="1" applyFill="1" applyBorder="1" applyAlignment="1">
      <x:alignment horizontal="center" vertical="center" wrapText="1"/>
    </x:xf>
    <x:xf numFmtId="0" fontId="7" fillId="5" borderId="19" xfId="0" applyNumberFormat="1" applyFont="1" applyFill="1" applyBorder="1" applyAlignment="1">
      <x:alignment horizontal="center" vertical="center" wrapText="1"/>
    </x:xf>
    <x:xf numFmtId="0" fontId="7" fillId="5" borderId="20" xfId="0" applyNumberFormat="1" applyFont="1" applyFill="1" applyBorder="1" applyAlignment="1">
      <x:alignment horizontal="center" vertical="center" wrapText="1"/>
    </x:xf>
    <x:xf numFmtId="0" fontId="7" fillId="5" borderId="2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22" xfId="0" applyNumberFormat="1" applyFont="1" applyFill="1" applyBorder="1" applyAlignment="1">
      <x:alignment horizontal="center" vertical="center" wrapText="1"/>
    </x:xf>
    <x:xf numFmtId="0" fontId="7" fillId="5" borderId="23" xfId="0" applyNumberFormat="1" applyFont="1" applyFill="1" applyBorder="1" applyAlignment="1">
      <x:alignment horizontal="center" vertical="center" wrapText="1"/>
    </x:xf>
    <x:xf numFmtId="0" fontId="7" fillId="5" borderId="24" xfId="0" applyNumberFormat="1" applyFont="1" applyFill="1" applyBorder="1" applyAlignment="1">
      <x:alignment horizontal="center" vertic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206" fontId="1" fillId="0" borderId="0" xfId="0" applyNumberFormat="1" applyFont="1" applyFill="1" applyBorder="1"/>
    <x:xf numFmtId="206" fontId="1" fillId="3" borderId="0" xfId="0" applyNumberFormat="1" applyFont="1" applyFill="1" applyBorder="1"/>
    <x:xf numFmtId="206" fontId="1" fillId="3" borderId="4" xfId="0" applyNumberFormat="1" applyFont="1" applyFill="1" applyBorder="1"/>
    <x:xf numFmtId="206" fontId="1" fillId="3" borderId="5" xfId="0" applyNumberFormat="1" applyFont="1" applyFill="1" applyBorder="1"/>
    <x:xf numFmtId="206" fontId="1" fillId="3" borderId="6" xfId="0" applyNumberFormat="1" applyFont="1" applyFill="1" applyBorder="1"/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3" fontId="1" fillId="3" borderId="4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 applyAlignment="1">
      <x:alignment vertical="center"/>
    </x:xf>
    <x:xf numFmtId="203" fontId="1" fillId="3" borderId="6" xfId="0" applyNumberFormat="1" applyFont="1" applyFill="1" applyBorder="1" applyAlignment="1">
      <x:alignment vertical="center"/>
    </x:xf>
    <x:xf numFmtId="201" fontId="1" fillId="3" borderId="7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204" fontId="1" fillId="3" borderId="10" xfId="0" applyNumberFormat="1" applyFont="1" applyFill="1" applyBorder="1" applyAlignment="1">
      <x:alignment vertical="center"/>
    </x:xf>
    <x:xf numFmtId="204" fontId="1" fillId="4" borderId="10" xfId="0" applyNumberFormat="1" applyFont="1" applyFill="1" applyBorder="1" applyAlignment="1">
      <x:alignment vertical="center"/>
    </x:xf>
    <x:xf numFmtId="205" fontId="1" fillId="3" borderId="10" xfId="0" applyNumberFormat="1" applyFont="1" applyFill="1" applyBorder="1" applyAlignment="1">
      <x:alignment vertical="center"/>
    </x:xf>
    <x:xf numFmtId="204" fontId="1" fillId="4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204" fontId="1" fillId="3" borderId="13" xfId="0" applyNumberFormat="1" applyFont="1" applyFill="1" applyBorder="1" applyAlignment="1">
      <x:alignment vertical="center"/>
    </x:xf>
    <x:xf numFmtId="204" fontId="1" fillId="4" borderId="13" xfId="0" applyNumberFormat="1" applyFont="1" applyFill="1" applyBorder="1" applyAlignment="1">
      <x:alignment vertical="center"/>
    </x:xf>
    <x:xf numFmtId="205" fontId="1" fillId="3" borderId="13" xfId="0" applyNumberFormat="1" applyFont="1" applyFill="1" applyBorder="1" applyAlignment="1">
      <x:alignment vertical="center"/>
    </x:xf>
    <x:xf numFmtId="204" fontId="1" fillId="4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/>
    </x:xf>
    <x:xf numFmtId="204" fontId="1" fillId="3" borderId="16" xfId="0" applyNumberFormat="1" applyFont="1" applyFill="1" applyBorder="1" applyAlignment="1">
      <x:alignment vertical="center"/>
    </x:xf>
    <x:xf numFmtId="204" fontId="1" fillId="4" borderId="16" xfId="0" applyNumberFormat="1" applyFont="1" applyFill="1" applyBorder="1" applyAlignment="1">
      <x:alignment vertical="center"/>
    </x:xf>
    <x:xf numFmtId="205" fontId="1" fillId="3" borderId="16" xfId="0" applyNumberFormat="1" applyFont="1" applyFill="1" applyBorder="1" applyAlignment="1">
      <x:alignment vertical="center"/>
    </x:xf>
    <x:xf numFmtId="204" fontId="1" fillId="4" borderId="1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3" borderId="7" xfId="0" applyNumberFormat="1" applyFont="1" applyFill="1" applyBorder="1" applyAlignment="1">
      <x:alignment vertical="center"/>
    </x:xf>
    <x:xf numFmtId="204" fontId="6" fillId="2" borderId="0" xfId="0" applyNumberFormat="1" applyFont="1" applyFill="1" applyBorder="1" applyAlignment="1">
      <x:alignment vertical="center"/>
    </x:xf>
    <x:xf numFmtId="206" fontId="1" fillId="3" borderId="4" xfId="0" applyNumberFormat="1" applyFont="1" applyFill="1" applyBorder="1" applyAlignment="1">
      <x:alignment vertical="center"/>
    </x:xf>
    <x:xf numFmtId="206" fontId="1" fillId="3" borderId="5" xfId="0" applyNumberFormat="1" applyFont="1" applyFill="1" applyBorder="1" applyAlignment="1">
      <x:alignment vertical="center"/>
    </x:xf>
    <x:xf numFmtId="206" fontId="1" fillId="3" borderId="6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26" xfId="0" applyNumberFormat="1" applyFont="1" applyFill="1" applyBorder="1"/>
    <x:xf numFmtId="0" fontId="10" fillId="6" borderId="27" xfId="0" applyNumberFormat="1" applyFont="1" applyFill="1" applyBorder="1"/>
    <x:xf numFmtId="0" fontId="10" fillId="6" borderId="28" xfId="0" applyNumberFormat="1" applyFont="1" applyFill="1" applyBorder="1"/>
    <x:xf numFmtId="0" fontId="10" fillId="6" borderId="29" xfId="0" applyNumberFormat="1" applyFont="1" applyFill="1" applyBorder="1"/>
    <x:xf numFmtId="0" fontId="10" fillId="6" borderId="30" xfId="0" applyNumberFormat="1" applyFont="1" applyFill="1" applyBorder="1"/>
    <x:xf numFmtId="0" fontId="10" fillId="6" borderId="31" xfId="0" applyNumberFormat="1" applyFont="1" applyFill="1" applyBorder="1"/>
    <x:xf numFmtId="0" fontId="10" fillId="6" borderId="26" xfId="0" applyNumberFormat="1" applyFont="1" applyFill="1" applyBorder="1" applyAlignment="1">
      <x:alignment wrapText="1"/>
    </x:xf>
    <x:xf numFmtId="0" fontId="10" fillId="6" borderId="27" xfId="0" applyNumberFormat="1" applyFont="1" applyFill="1" applyBorder="1" applyAlignment="1">
      <x:alignment wrapText="1"/>
    </x:xf>
    <x:xf numFmtId="0" fontId="10" fillId="6" borderId="28" xfId="0" applyNumberFormat="1" applyFont="1" applyFill="1" applyBorder="1" applyAlignment="1">
      <x:alignment wrapText="1"/>
    </x:xf>
    <x:xf numFmtId="0" fontId="10" fillId="6" borderId="29" xfId="0" applyNumberFormat="1" applyFont="1" applyFill="1" applyBorder="1" applyAlignment="1">
      <x:alignment wrapText="1"/>
    </x:xf>
    <x:xf numFmtId="0" fontId="10" fillId="6" borderId="30" xfId="0" applyNumberFormat="1" applyFont="1" applyFill="1" applyBorder="1" applyAlignment="1">
      <x:alignment wrapText="1"/>
    </x:xf>
    <x:xf numFmtId="0" fontId="10" fillId="6" borderId="31" xfId="0" applyNumberFormat="1" applyFont="1" applyFill="1" applyBorder="1" applyAlignment="1">
      <x:alignment wrapText="1"/>
    </x:xf>
    <x:xf numFmtId="0" fontId="10" fillId="6" borderId="26" xfId="0" applyNumberFormat="1" applyFont="1" applyFill="1" applyBorder="1" applyAlignment="1">
      <x:alignment vertical="center" wrapText="1"/>
    </x:xf>
    <x:xf numFmtId="0" fontId="10" fillId="6" borderId="27" xfId="0" applyNumberFormat="1" applyFont="1" applyFill="1" applyBorder="1" applyAlignment="1">
      <x:alignment vertical="center" wrapText="1"/>
    </x:xf>
    <x:xf numFmtId="0" fontId="10" fillId="6" borderId="28" xfId="0" applyNumberFormat="1" applyFont="1" applyFill="1" applyBorder="1" applyAlignment="1">
      <x:alignment vertical="center" wrapText="1"/>
    </x:xf>
    <x:xf numFmtId="0" fontId="10" fillId="6" borderId="29" xfId="0" applyNumberFormat="1" applyFont="1" applyFill="1" applyBorder="1" applyAlignment="1">
      <x:alignment vertical="center" wrapText="1"/>
    </x:xf>
    <x:xf numFmtId="0" fontId="10" fillId="6" borderId="30" xfId="0" applyNumberFormat="1" applyFont="1" applyFill="1" applyBorder="1" applyAlignment="1">
      <x:alignment vertical="center" wrapText="1"/>
    </x:xf>
    <x:xf numFmtId="0" fontId="10" fillId="6" borderId="3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9" xfId="0" applyNumberFormat="1" applyFont="1" applyFill="1" applyBorder="1" applyAlignment="1">
      <x:alignment horizontal="center"/>
    </x:xf>
    <x:xf numFmtId="0" fontId="6" fillId="2" borderId="10" xfId="0" applyNumberFormat="1" applyFont="1" applyFill="1" applyBorder="1" applyAlignment="1">
      <x:alignment horizontal="center"/>
    </x:xf>
    <x:xf numFmtId="0" fontId="6" fillId="2" borderId="1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336fc820e4beb" /><Relationship Type="http://schemas.openxmlformats.org/officeDocument/2006/relationships/theme" Target="/xl/theme/theme1.xml" Id="Ra450b76bfd5149ab" /><Relationship Type="http://schemas.openxmlformats.org/officeDocument/2006/relationships/sharedStrings" Target="/xl/sharedStrings.xml" Id="R975befba332e4a38" /><Relationship Type="http://schemas.openxmlformats.org/officeDocument/2006/relationships/worksheet" Target="/xl/worksheets/sheet1.xml" Id="R97bb2282f3e9443d" /><Relationship Type="http://schemas.openxmlformats.org/officeDocument/2006/relationships/worksheet" Target="/xl/worksheets/sheet2.xml" Id="R56e19934c11044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5" hidden="0" customWidth="1"/>
    <x:col min="2" max="2" width="13" hidden="0" customWidth="1"/>
    <x:col min="3" max="3" width="26" hidden="0" customWidth="1"/>
    <x:col min="4" max="4" width="10" hidden="0" customWidth="1"/>
    <x:col min="5" max="5" width="10" hidden="0" customWidth="1"/>
    <x:col min="6" max="6" width="13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</x:cols>
  <x:sheetData>
    <x:row r="1" ht="27" customHeight="1">
      <x:c r="A1" s="6" t="str">
        <x:v>فاتورة ضريبية قياسية
TAX INVOICE</x:v>
      </x:c>
      <x:c r="B1" s="6" t="str">
        <x:v>فاتورة ضريبية قياسية
TAX INVOICE</x:v>
      </x:c>
      <x:c r="C1" s="6" t="str">
        <x:v>فاتورة ضريبية قياسية
TAX INVOICE</x:v>
      </x:c>
      <x:c r="D1" s="6" t="str">
        <x:v>فاتورة ضريبية قياسية
TAX INVOICE</x:v>
      </x:c>
      <x:c r="E1" s="6" t="str">
        <x:v>فاتورة ضريبية قياسية
TAX INVOICE</x:v>
      </x:c>
      <x:c r="F1" s="6" t="str">
        <x:v>فاتورة ضريبية قياسية
TAX INVOICE</x:v>
      </x:c>
      <x:c r="G1" s="6" t="str">
        <x:v>فاتورة ضريبية قياسية
TAX INVOICE</x:v>
      </x:c>
      <x:c r="H1" s="6" t="str">
        <x:v>فاتورة ضريبية قياسية
TAX INVOICE</x:v>
      </x:c>
      <x:c r="I1" s="6" t="str">
        <x:v>فاتورة ضريبية قياسية
TAX INVOICE</x:v>
      </x:c>
      <x:c r="J1" s="6" t="str">
        <x:v>فاتورة ضريبية قياسية
TAX INVOICE</x:v>
      </x:c>
      <x:c r="K1" s="6" t="str">
        <x:v>فاتورة ضريبية قياسية
TAX INVOICE</x:v>
      </x:c>
      <x:c r="L1" s="6" t="str">
        <x:v>فاتورة ضريبية قياسية
TAX INVOICE</x:v>
      </x:c>
    </x:row>
    <x:row r="2" ht="27" customHeight="1">
      <x:c r="A2" s="6" t="str">
        <x:v>فاتورة ضريبية قياسية
TAX INVOICE</x:v>
      </x:c>
      <x:c r="B2" s="6" t="str">
        <x:v>فاتورة ضريبية قياسية
TAX INVOICE</x:v>
      </x:c>
      <x:c r="C2" s="6" t="str">
        <x:v>فاتورة ضريبية قياسية
TAX INVOICE</x:v>
      </x:c>
      <x:c r="D2" s="6" t="str">
        <x:v>فاتورة ضريبية قياسية
TAX INVOICE</x:v>
      </x:c>
      <x:c r="E2" s="6" t="str">
        <x:v>فاتورة ضريبية قياسية
TAX INVOICE</x:v>
      </x:c>
      <x:c r="F2" s="6" t="str">
        <x:v>فاتورة ضريبية قياسية
TAX INVOICE</x:v>
      </x:c>
      <x:c r="G2" s="6" t="str">
        <x:v>فاتورة ضريبية قياسية
TAX INVOICE</x:v>
      </x:c>
      <x:c r="H2" s="6" t="str">
        <x:v>فاتورة ضريبية قياسية
TAX INVOICE</x:v>
      </x:c>
      <x:c r="I2" s="6" t="str">
        <x:v>فاتورة ضريبية قياسية
TAX INVOICE</x:v>
      </x:c>
      <x:c r="J2" s="6" t="str">
        <x:v>فاتورة ضريبية قياسية
TAX INVOICE</x:v>
      </x:c>
      <x:c r="K2" s="6" t="str">
        <x:v>فاتورة ضريبية قياسية
TAX INVOICE</x:v>
      </x:c>
      <x:c r="L2" s="6" t="str">
        <x:v>فاتورة ضريبية قياسية
TAX INVOICE</x:v>
      </x:c>
    </x:row>
    <x:row r="3">
      <x:c r="A3" s="14" t="str">
        <x:v>بيانات المورد / Seller details</x:v>
      </x:c>
      <x:c r="B3" s="15" t="str">
        <x:v>بيانات المورد / Seller details</x:v>
      </x:c>
      <x:c r="C3" s="15" t="str">
        <x:v>بيانات المورد / Seller details</x:v>
      </x:c>
      <x:c r="D3" s="15" t="str">
        <x:v>بيانات المورد / Seller details</x:v>
      </x:c>
      <x:c r="E3" s="15" t="str">
        <x:v>بيانات المورد / Seller details</x:v>
      </x:c>
      <x:c r="F3" s="16" t="str">
        <x:v>بيانات المورد / Seller details</x:v>
      </x:c>
      <x:c r="G3" s="14" t="str">
        <x:v>بيانات الفاتورة / Invoice details</x:v>
      </x:c>
      <x:c r="H3" s="15" t="str">
        <x:v>بيانات الفاتورة / Invoice details</x:v>
      </x:c>
      <x:c r="I3" s="15" t="str">
        <x:v>بيانات الفاتورة / Invoice details</x:v>
      </x:c>
      <x:c r="J3" s="15" t="str">
        <x:v>بيانات الفاتورة / Invoice details</x:v>
      </x:c>
      <x:c r="K3" s="15" t="str">
        <x:v>بيانات الفاتورة / Invoice details</x:v>
      </x:c>
      <x:c r="L3" s="16" t="str">
        <x:v>بيانات الفاتورة / Invoice details</x:v>
      </x:c>
    </x:row>
    <x:row r="4">
      <x:c r="A4" s="153" t="str">
        <x:v>الاسم القانوني</x:v>
      </x:c>
      <x:c r="B4" s="153"/>
      <x:c r="C4" s="123" t="str">
        <x:v>شركة تقنية الأعمال والتجارة المحدودة | Business Tech &amp; Trading Co. Ltd</x:v>
      </x:c>
      <x:c r="D4" s="124" t="str">
        <x:v>شركة تقنية الأعمال والتجارة المحدودة | Business Tech &amp; Trading Co. Ltd</x:v>
      </x:c>
      <x:c r="E4" s="124" t="str">
        <x:v>شركة تقنية الأعمال والتجارة المحدودة | Business Tech &amp; Trading Co. Ltd</x:v>
      </x:c>
      <x:c r="F4" s="125" t="str">
        <x:v>شركة تقنية الأعمال والتجارة المحدودة | Business Tech &amp; Trading Co. Ltd</x:v>
      </x:c>
      <x:c r="G4" s="153" t="str">
        <x:v>رقم الفاتورة</x:v>
      </x:c>
      <x:c r="H4" s="153"/>
      <x:c r="I4" s="123" t="str"/>
      <x:c r="J4" s="124" t="str"/>
      <x:c r="K4" s="124" t="str"/>
      <x:c r="L4" s="125" t="str"/>
    </x:row>
    <x:row r="5">
      <x:c r="A5" s="153" t="str">
        <x:v>الرقم الضريبي</x:v>
      </x:c>
      <x:c r="B5" s="153"/>
      <x:c r="C5" s="126" t="n">
        <x:v>300000000000003</x:v>
      </x:c>
      <x:c r="D5" s="127" t="n">
        <x:v>300000000000003</x:v>
      </x:c>
      <x:c r="E5" s="127" t="n">
        <x:v>300000000000003</x:v>
      </x:c>
      <x:c r="F5" s="128" t="n">
        <x:v>300000000000003</x:v>
      </x:c>
      <x:c r="G5" s="153" t="str">
        <x:v>تاريخ الإصدار</x:v>
      </x:c>
      <x:c r="H5" s="153"/>
      <x:c r="I5" s="129" t="str"/>
      <x:c r="J5" s="130" t="str"/>
      <x:c r="K5" s="130" t="str"/>
      <x:c r="L5" s="131" t="str"/>
    </x:row>
    <x:row r="6">
      <x:c r="A6" s="153" t="str">
        <x:v>السجل التجاري</x:v>
      </x:c>
      <x:c r="B6" s="153"/>
      <x:c r="C6" s="126" t="n">
        <x:v>1010000001</x:v>
      </x:c>
      <x:c r="D6" s="127" t="n">
        <x:v>1010000001</x:v>
      </x:c>
      <x:c r="E6" s="127" t="n">
        <x:v>1010000001</x:v>
      </x:c>
      <x:c r="F6" s="128" t="n">
        <x:v>1010000001</x:v>
      </x:c>
      <x:c r="G6" s="153" t="str">
        <x:v>وقت الإصدار</x:v>
      </x:c>
      <x:c r="H6" s="153"/>
      <x:c r="I6" s="123" t="str"/>
      <x:c r="J6" s="124" t="str"/>
      <x:c r="K6" s="124" t="str"/>
      <x:c r="L6" s="125" t="str"/>
    </x:row>
    <x:row r="7">
      <x:c r="A7" s="153" t="str">
        <x:v>العنوان الوطني</x:v>
      </x:c>
      <x:c r="B7" s="153"/>
      <x:c r="C7" s="123" t="str">
        <x:v>الرياض - طريق الملك فهد - حي الصحافة</x:v>
      </x:c>
      <x:c r="D7" s="124" t="str">
        <x:v>الرياض - طريق الملك فهد - حي الصحافة</x:v>
      </x:c>
      <x:c r="E7" s="124" t="str">
        <x:v>الرياض - طريق الملك فهد - حي الصحافة</x:v>
      </x:c>
      <x:c r="F7" s="125" t="str">
        <x:v>الرياض - طريق الملك فهد - حي الصحافة</x:v>
      </x:c>
      <x:c r="G7" s="153" t="str">
        <x:v>تاريخ التوريد</x:v>
      </x:c>
      <x:c r="H7" s="153"/>
      <x:c r="I7" s="129" t="str"/>
      <x:c r="J7" s="130" t="str"/>
      <x:c r="K7" s="130" t="str"/>
      <x:c r="L7" s="131" t="str"/>
    </x:row>
    <x:row r="8">
      <x:c r="A8" s="153" t="str">
        <x:v>رقم المبنى</x:v>
      </x:c>
      <x:c r="B8" s="153"/>
      <x:c r="C8" s="132" t="n">
        <x:v>2418</x:v>
      </x:c>
      <x:c r="D8" s="122" t="str">
        <x:v>الرمز البريدي</x:v>
      </x:c>
      <x:c r="E8" s="133" t="n">
        <x:v>13321</x:v>
      </x:c>
      <x:c r="F8" s="134" t="str">
        <x:v>الرياض</x:v>
      </x:c>
      <x:c r="G8" s="153" t="str">
        <x:v>مرجع أمر الشراء</x:v>
      </x:c>
      <x:c r="H8" s="153"/>
      <x:c r="I8" s="123" t="str"/>
      <x:c r="J8" s="124" t="str"/>
      <x:c r="K8" s="124" t="str"/>
      <x:c r="L8" s="125" t="str"/>
    </x:row>
    <x:row r="9">
      <x:c r="A9" s="153"/>
      <x:c r="B9" s="153"/>
      <x:c r="C9" s="122"/>
      <x:c r="D9" s="122"/>
      <x:c r="E9" s="122"/>
      <x:c r="F9" s="122"/>
      <x:c r="G9" s="153"/>
      <x:c r="H9" s="153"/>
      <x:c r="I9" s="122"/>
      <x:c r="J9" s="122"/>
      <x:c r="K9" s="122"/>
      <x:c r="L9" s="122"/>
    </x:row>
    <x:row r="10">
      <x:c r="A10" s="14" t="str">
        <x:v>بيانات المشتري / Buyer details</x:v>
      </x:c>
      <x:c r="B10" s="15" t="str">
        <x:v>بيانات المشتري / Buyer details</x:v>
      </x:c>
      <x:c r="C10" s="15" t="str">
        <x:v>بيانات المشتري / Buyer details</x:v>
      </x:c>
      <x:c r="D10" s="15" t="str">
        <x:v>بيانات المشتري / Buyer details</x:v>
      </x:c>
      <x:c r="E10" s="15" t="str">
        <x:v>بيانات المشتري / Buyer details</x:v>
      </x:c>
      <x:c r="F10" s="15" t="str">
        <x:v>بيانات المشتري / Buyer details</x:v>
      </x:c>
      <x:c r="G10" s="15" t="str">
        <x:v>بيانات المشتري / Buyer details</x:v>
      </x:c>
      <x:c r="H10" s="15" t="str">
        <x:v>بيانات المشتري / Buyer details</x:v>
      </x:c>
      <x:c r="I10" s="15" t="str">
        <x:v>بيانات المشتري / Buyer details</x:v>
      </x:c>
      <x:c r="J10" s="15" t="str">
        <x:v>بيانات المشتري / Buyer details</x:v>
      </x:c>
      <x:c r="K10" s="15" t="str">
        <x:v>بيانات المشتري / Buyer details</x:v>
      </x:c>
      <x:c r="L10" s="16" t="str">
        <x:v>بيانات المشتري / Buyer details</x:v>
      </x:c>
    </x:row>
    <x:row r="11">
      <x:c r="A11" s="153" t="str">
        <x:v>الاسم القانوني</x:v>
      </x:c>
      <x:c r="B11" s="153"/>
      <x:c r="C11" s="123" t="str"/>
      <x:c r="D11" s="124" t="str"/>
      <x:c r="E11" s="124" t="str"/>
      <x:c r="F11" s="125" t="str"/>
      <x:c r="G11" s="153" t="str">
        <x:v>معرّف آخر</x:v>
      </x:c>
      <x:c r="H11" s="153"/>
      <x:c r="I11" s="123" t="str"/>
      <x:c r="J11" s="124" t="str"/>
      <x:c r="K11" s="124" t="str"/>
      <x:c r="L11" s="125" t="str"/>
    </x:row>
    <x:row r="12">
      <x:c r="A12" s="153" t="str">
        <x:v>الرقم الضريبي</x:v>
      </x:c>
      <x:c r="B12" s="153"/>
      <x:c r="C12" s="126" t="str"/>
      <x:c r="D12" s="127" t="str"/>
      <x:c r="E12" s="127" t="str"/>
      <x:c r="F12" s="128" t="str"/>
      <x:c r="G12" s="153" t="str">
        <x:v>المدينة والرمز البريدي</x:v>
      </x:c>
      <x:c r="H12" s="153"/>
      <x:c r="I12" s="123" t="str"/>
      <x:c r="J12" s="124" t="str"/>
      <x:c r="K12" s="124" t="str"/>
      <x:c r="L12" s="125" t="str"/>
    </x:row>
    <x:row r="13">
      <x:c r="A13" s="153" t="str">
        <x:v>العنوان الوطني</x:v>
      </x:c>
      <x:c r="B13" s="153"/>
      <x:c r="C13" s="123" t="str"/>
      <x:c r="D13" s="124" t="str"/>
      <x:c r="E13" s="124" t="str"/>
      <x:c r="F13" s="125" t="str"/>
      <x:c r="G13" s="153" t="str">
        <x:v>رقم المبنى والدولة</x:v>
      </x:c>
      <x:c r="H13" s="153"/>
      <x:c r="I13" s="123" t="str">
        <x:v>SA</x:v>
      </x:c>
      <x:c r="J13" s="124" t="str">
        <x:v>SA</x:v>
      </x:c>
      <x:c r="K13" s="124" t="str">
        <x:v>SA</x:v>
      </x:c>
      <x:c r="L13" s="125" t="str">
        <x:v>SA</x:v>
      </x:c>
    </x:row>
    <x:row r="14">
      <x:c r="A14" s="122"/>
      <x:c r="B14" s="122"/>
      <x:c r="C14" s="122"/>
      <x:c r="D14" s="122"/>
      <x:c r="E14" s="122"/>
      <x:c r="F14" s="122"/>
      <x:c r="G14" s="122"/>
      <x:c r="H14" s="122"/>
      <x:c r="I14" s="122"/>
      <x:c r="J14" s="122"/>
      <x:c r="K14" s="122"/>
      <x:c r="L14" s="122"/>
    </x:row>
    <x:row r="15" ht="38" customHeight="1">
      <x:c r="A15" s="39" t="str">
        <x:v>#</x:v>
      </x:c>
      <x:c r="B15" s="39" t="str">
        <x:v>رمز الصنف</x:v>
      </x:c>
      <x:c r="C15" s="39" t="str">
        <x:v>السلعة أو الخدمة</x:v>
      </x:c>
      <x:c r="D15" s="39" t="str">
        <x:v>الكمية</x:v>
      </x:c>
      <x:c r="E15" s="39" t="str">
        <x:v>الوحدة</x:v>
      </x:c>
      <x:c r="F15" s="39" t="str">
        <x:v>سعر الوحدة</x:v>
      </x:c>
      <x:c r="G15" s="39" t="str">
        <x:v>خصم السطر</x:v>
      </x:c>
      <x:c r="H15" s="39" t="str">
        <x:v>الصافي قبل الضريبة</x:v>
      </x:c>
      <x:c r="I15" s="39" t="str">
        <x:v>فئة الضريبة</x:v>
      </x:c>
      <x:c r="J15" s="39" t="str">
        <x:v>نسبة الضريبة</x:v>
      </x:c>
      <x:c r="K15" s="39" t="str">
        <x:v>قيمة الضريبة</x:v>
      </x:c>
      <x:c r="L15" s="39" t="str">
        <x:v>الإجمالي شامل الضريبة</x:v>
      </x:c>
    </x:row>
    <x:row r="16" ht="22" customHeight="1">
      <x:c r="A16" s="135" t="n">
        <x:v>1</x:v>
      </x:c>
      <x:c r="B16" s="136" t="str"/>
      <x:c r="C16" s="136" t="str"/>
      <x:c r="D16" s="137"/>
      <x:c r="E16" s="136" t="str"/>
      <x:c r="F16" s="137"/>
      <x:c r="G16" s="137"/>
      <x:c r="H16" s="138" t="str">
        <x:f>IF(OR(C16="",D16="",F16=""),"",ROUND(D16*F16-IF(G16="",0,G16),2))</x:f>
      </x:c>
      <x:c r="I16" s="136" t="str">
        <x:v>S</x:v>
      </x:c>
      <x:c r="J16" s="139" t="n">
        <x:v>0.15</x:v>
      </x:c>
      <x:c r="K16" s="138" t="str">
        <x:f>IF(H16="","",ROUND(H16*J16,2))</x:f>
      </x:c>
      <x:c r="L16" s="140" t="str">
        <x:f>IF(H16="","",ROUND(H16+K16,2))</x:f>
      </x:c>
    </x:row>
    <x:row r="17" ht="22" customHeight="1">
      <x:c r="A17" s="141" t="n">
        <x:v>2</x:v>
      </x:c>
      <x:c r="B17" s="142" t="str"/>
      <x:c r="C17" s="142" t="str"/>
      <x:c r="D17" s="143"/>
      <x:c r="E17" s="142" t="str"/>
      <x:c r="F17" s="143"/>
      <x:c r="G17" s="143"/>
      <x:c r="H17" s="144" t="str">
        <x:f>IF(OR(C17="",D17="",F17=""),"",ROUND(D17*F17-IF(G17="",0,G17),2))</x:f>
      </x:c>
      <x:c r="I17" s="142" t="str">
        <x:v>S</x:v>
      </x:c>
      <x:c r="J17" s="145" t="n">
        <x:v>0.15</x:v>
      </x:c>
      <x:c r="K17" s="144" t="str">
        <x:f>IF(H17="","",ROUND(H17*J17,2))</x:f>
      </x:c>
      <x:c r="L17" s="146" t="str">
        <x:f>IF(H17="","",ROUND(H17+K17,2))</x:f>
      </x:c>
    </x:row>
    <x:row r="18" ht="22" customHeight="1">
      <x:c r="A18" s="141" t="n">
        <x:v>3</x:v>
      </x:c>
      <x:c r="B18" s="142" t="str"/>
      <x:c r="C18" s="142" t="str"/>
      <x:c r="D18" s="143"/>
      <x:c r="E18" s="142" t="str"/>
      <x:c r="F18" s="143"/>
      <x:c r="G18" s="143"/>
      <x:c r="H18" s="144" t="str">
        <x:f>IF(OR(C18="",D18="",F18=""),"",ROUND(D18*F18-IF(G18="",0,G18),2))</x:f>
      </x:c>
      <x:c r="I18" s="142" t="str">
        <x:v>S</x:v>
      </x:c>
      <x:c r="J18" s="145" t="n">
        <x:v>0.15</x:v>
      </x:c>
      <x:c r="K18" s="144" t="str">
        <x:f>IF(H18="","",ROUND(H18*J18,2))</x:f>
      </x:c>
      <x:c r="L18" s="146" t="str">
        <x:f>IF(H18="","",ROUND(H18+K18,2))</x:f>
      </x:c>
    </x:row>
    <x:row r="19" ht="22" customHeight="1">
      <x:c r="A19" s="141" t="n">
        <x:v>4</x:v>
      </x:c>
      <x:c r="B19" s="142" t="str"/>
      <x:c r="C19" s="142" t="str"/>
      <x:c r="D19" s="143"/>
      <x:c r="E19" s="142" t="str"/>
      <x:c r="F19" s="143"/>
      <x:c r="G19" s="143"/>
      <x:c r="H19" s="144" t="str">
        <x:f>IF(OR(C19="",D19="",F19=""),"",ROUND(D19*F19-IF(G19="",0,G19),2))</x:f>
      </x:c>
      <x:c r="I19" s="142" t="str">
        <x:v>S</x:v>
      </x:c>
      <x:c r="J19" s="145" t="n">
        <x:v>0.15</x:v>
      </x:c>
      <x:c r="K19" s="144" t="str">
        <x:f>IF(H19="","",ROUND(H19*J19,2))</x:f>
      </x:c>
      <x:c r="L19" s="146" t="str">
        <x:f>IF(H19="","",ROUND(H19+K19,2))</x:f>
      </x:c>
    </x:row>
    <x:row r="20" ht="22" customHeight="1">
      <x:c r="A20" s="141" t="n">
        <x:v>5</x:v>
      </x:c>
      <x:c r="B20" s="142" t="str"/>
      <x:c r="C20" s="142" t="str"/>
      <x:c r="D20" s="143"/>
      <x:c r="E20" s="142" t="str"/>
      <x:c r="F20" s="143"/>
      <x:c r="G20" s="143"/>
      <x:c r="H20" s="144" t="str">
        <x:f>IF(OR(C20="",D20="",F20=""),"",ROUND(D20*F20-IF(G20="",0,G20),2))</x:f>
      </x:c>
      <x:c r="I20" s="142" t="str">
        <x:v>S</x:v>
      </x:c>
      <x:c r="J20" s="145" t="n">
        <x:v>0.15</x:v>
      </x:c>
      <x:c r="K20" s="144" t="str">
        <x:f>IF(H20="","",ROUND(H20*J20,2))</x:f>
      </x:c>
      <x:c r="L20" s="146" t="str">
        <x:f>IF(H20="","",ROUND(H20+K20,2))</x:f>
      </x:c>
    </x:row>
    <x:row r="21" ht="22" customHeight="1">
      <x:c r="A21" s="141" t="n">
        <x:v>6</x:v>
      </x:c>
      <x:c r="B21" s="142" t="str"/>
      <x:c r="C21" s="142" t="str"/>
      <x:c r="D21" s="143"/>
      <x:c r="E21" s="142" t="str"/>
      <x:c r="F21" s="143"/>
      <x:c r="G21" s="143"/>
      <x:c r="H21" s="144" t="str">
        <x:f>IF(OR(C21="",D21="",F21=""),"",ROUND(D21*F21-IF(G21="",0,G21),2))</x:f>
      </x:c>
      <x:c r="I21" s="142" t="str">
        <x:v>S</x:v>
      </x:c>
      <x:c r="J21" s="145" t="n">
        <x:v>0.15</x:v>
      </x:c>
      <x:c r="K21" s="144" t="str">
        <x:f>IF(H21="","",ROUND(H21*J21,2))</x:f>
      </x:c>
      <x:c r="L21" s="146" t="str">
        <x:f>IF(H21="","",ROUND(H21+K21,2))</x:f>
      </x:c>
    </x:row>
    <x:row r="22" ht="22" customHeight="1">
      <x:c r="A22" s="141" t="n">
        <x:v>7</x:v>
      </x:c>
      <x:c r="B22" s="142" t="str"/>
      <x:c r="C22" s="142" t="str"/>
      <x:c r="D22" s="143"/>
      <x:c r="E22" s="142" t="str"/>
      <x:c r="F22" s="143"/>
      <x:c r="G22" s="143"/>
      <x:c r="H22" s="144" t="str">
        <x:f>IF(OR(C22="",D22="",F22=""),"",ROUND(D22*F22-IF(G22="",0,G22),2))</x:f>
      </x:c>
      <x:c r="I22" s="142" t="str">
        <x:v>S</x:v>
      </x:c>
      <x:c r="J22" s="145" t="n">
        <x:v>0.15</x:v>
      </x:c>
      <x:c r="K22" s="144" t="str">
        <x:f>IF(H22="","",ROUND(H22*J22,2))</x:f>
      </x:c>
      <x:c r="L22" s="146" t="str">
        <x:f>IF(H22="","",ROUND(H22+K22,2))</x:f>
      </x:c>
    </x:row>
    <x:row r="23" ht="22" customHeight="1">
      <x:c r="A23" s="141" t="n">
        <x:v>8</x:v>
      </x:c>
      <x:c r="B23" s="142" t="str"/>
      <x:c r="C23" s="142" t="str"/>
      <x:c r="D23" s="143"/>
      <x:c r="E23" s="142" t="str"/>
      <x:c r="F23" s="143"/>
      <x:c r="G23" s="143"/>
      <x:c r="H23" s="144" t="str">
        <x:f>IF(OR(C23="",D23="",F23=""),"",ROUND(D23*F23-IF(G23="",0,G23),2))</x:f>
      </x:c>
      <x:c r="I23" s="142" t="str">
        <x:v>S</x:v>
      </x:c>
      <x:c r="J23" s="145" t="n">
        <x:v>0.15</x:v>
      </x:c>
      <x:c r="K23" s="144" t="str">
        <x:f>IF(H23="","",ROUND(H23*J23,2))</x:f>
      </x:c>
      <x:c r="L23" s="146" t="str">
        <x:f>IF(H23="","",ROUND(H23+K23,2))</x:f>
      </x:c>
    </x:row>
    <x:row r="24" ht="22" customHeight="1">
      <x:c r="A24" s="141" t="n">
        <x:v>9</x:v>
      </x:c>
      <x:c r="B24" s="142" t="str"/>
      <x:c r="C24" s="142" t="str"/>
      <x:c r="D24" s="143"/>
      <x:c r="E24" s="142" t="str"/>
      <x:c r="F24" s="143"/>
      <x:c r="G24" s="143"/>
      <x:c r="H24" s="144" t="str">
        <x:f>IF(OR(C24="",D24="",F24=""),"",ROUND(D24*F24-IF(G24="",0,G24),2))</x:f>
      </x:c>
      <x:c r="I24" s="142" t="str">
        <x:v>S</x:v>
      </x:c>
      <x:c r="J24" s="145" t="n">
        <x:v>0.15</x:v>
      </x:c>
      <x:c r="K24" s="144" t="str">
        <x:f>IF(H24="","",ROUND(H24*J24,2))</x:f>
      </x:c>
      <x:c r="L24" s="146" t="str">
        <x:f>IF(H24="","",ROUND(H24+K24,2))</x:f>
      </x:c>
    </x:row>
    <x:row r="25" ht="22" customHeight="1">
      <x:c r="A25" s="141" t="n">
        <x:v>10</x:v>
      </x:c>
      <x:c r="B25" s="142" t="str"/>
      <x:c r="C25" s="142" t="str"/>
      <x:c r="D25" s="143"/>
      <x:c r="E25" s="142" t="str"/>
      <x:c r="F25" s="143"/>
      <x:c r="G25" s="143"/>
      <x:c r="H25" s="144" t="str">
        <x:f>IF(OR(C25="",D25="",F25=""),"",ROUND(D25*F25-IF(G25="",0,G25),2))</x:f>
      </x:c>
      <x:c r="I25" s="142" t="str">
        <x:v>S</x:v>
      </x:c>
      <x:c r="J25" s="145" t="n">
        <x:v>0.15</x:v>
      </x:c>
      <x:c r="K25" s="144" t="str">
        <x:f>IF(H25="","",ROUND(H25*J25,2))</x:f>
      </x:c>
      <x:c r="L25" s="146" t="str">
        <x:f>IF(H25="","",ROUND(H25+K25,2))</x:f>
      </x:c>
    </x:row>
    <x:row r="26" ht="22" customHeight="1">
      <x:c r="A26" s="141" t="n">
        <x:v>11</x:v>
      </x:c>
      <x:c r="B26" s="142" t="str"/>
      <x:c r="C26" s="142" t="str"/>
      <x:c r="D26" s="143"/>
      <x:c r="E26" s="142" t="str"/>
      <x:c r="F26" s="143"/>
      <x:c r="G26" s="143"/>
      <x:c r="H26" s="144" t="str">
        <x:f>IF(OR(C26="",D26="",F26=""),"",ROUND(D26*F26-IF(G26="",0,G26),2))</x:f>
      </x:c>
      <x:c r="I26" s="142" t="str">
        <x:v>S</x:v>
      </x:c>
      <x:c r="J26" s="145" t="n">
        <x:v>0.15</x:v>
      </x:c>
      <x:c r="K26" s="144" t="str">
        <x:f>IF(H26="","",ROUND(H26*J26,2))</x:f>
      </x:c>
      <x:c r="L26" s="146" t="str">
        <x:f>IF(H26="","",ROUND(H26+K26,2))</x:f>
      </x:c>
    </x:row>
    <x:row r="27" ht="22" customHeight="1">
      <x:c r="A27" s="141" t="n">
        <x:v>12</x:v>
      </x:c>
      <x:c r="B27" s="142" t="str"/>
      <x:c r="C27" s="142" t="str"/>
      <x:c r="D27" s="143"/>
      <x:c r="E27" s="142" t="str"/>
      <x:c r="F27" s="143"/>
      <x:c r="G27" s="143"/>
      <x:c r="H27" s="144" t="str">
        <x:f>IF(OR(C27="",D27="",F27=""),"",ROUND(D27*F27-IF(G27="",0,G27),2))</x:f>
      </x:c>
      <x:c r="I27" s="142" t="str">
        <x:v>S</x:v>
      </x:c>
      <x:c r="J27" s="145" t="n">
        <x:v>0.15</x:v>
      </x:c>
      <x:c r="K27" s="144" t="str">
        <x:f>IF(H27="","",ROUND(H27*J27,2))</x:f>
      </x:c>
      <x:c r="L27" s="146" t="str">
        <x:f>IF(H27="","",ROUND(H27+K27,2))</x:f>
      </x:c>
    </x:row>
    <x:row r="28" ht="22" customHeight="1">
      <x:c r="A28" s="141" t="n">
        <x:v>13</x:v>
      </x:c>
      <x:c r="B28" s="142" t="str"/>
      <x:c r="C28" s="142" t="str"/>
      <x:c r="D28" s="143"/>
      <x:c r="E28" s="142" t="str"/>
      <x:c r="F28" s="143"/>
      <x:c r="G28" s="143"/>
      <x:c r="H28" s="144" t="str">
        <x:f>IF(OR(C28="",D28="",F28=""),"",ROUND(D28*F28-IF(G28="",0,G28),2))</x:f>
      </x:c>
      <x:c r="I28" s="142" t="str">
        <x:v>S</x:v>
      </x:c>
      <x:c r="J28" s="145" t="n">
        <x:v>0.15</x:v>
      </x:c>
      <x:c r="K28" s="144" t="str">
        <x:f>IF(H28="","",ROUND(H28*J28,2))</x:f>
      </x:c>
      <x:c r="L28" s="146" t="str">
        <x:f>IF(H28="","",ROUND(H28+K28,2))</x:f>
      </x:c>
    </x:row>
    <x:row r="29" ht="22" customHeight="1">
      <x:c r="A29" s="141" t="n">
        <x:v>14</x:v>
      </x:c>
      <x:c r="B29" s="142" t="str"/>
      <x:c r="C29" s="142" t="str"/>
      <x:c r="D29" s="143"/>
      <x:c r="E29" s="142" t="str"/>
      <x:c r="F29" s="143"/>
      <x:c r="G29" s="143"/>
      <x:c r="H29" s="144" t="str">
        <x:f>IF(OR(C29="",D29="",F29=""),"",ROUND(D29*F29-IF(G29="",0,G29),2))</x:f>
      </x:c>
      <x:c r="I29" s="142" t="str">
        <x:v>S</x:v>
      </x:c>
      <x:c r="J29" s="145" t="n">
        <x:v>0.15</x:v>
      </x:c>
      <x:c r="K29" s="144" t="str">
        <x:f>IF(H29="","",ROUND(H29*J29,2))</x:f>
      </x:c>
      <x:c r="L29" s="146" t="str">
        <x:f>IF(H29="","",ROUND(H29+K29,2))</x:f>
      </x:c>
    </x:row>
    <x:row r="30" ht="22" customHeight="1">
      <x:c r="A30" s="147" t="n">
        <x:v>15</x:v>
      </x:c>
      <x:c r="B30" s="148" t="str"/>
      <x:c r="C30" s="148" t="str"/>
      <x:c r="D30" s="149"/>
      <x:c r="E30" s="148" t="str"/>
      <x:c r="F30" s="149"/>
      <x:c r="G30" s="149"/>
      <x:c r="H30" s="150" t="str">
        <x:f>IF(OR(C30="",D30="",F30=""),"",ROUND(D30*F30-IF(G30="",0,G30),2))</x:f>
      </x:c>
      <x:c r="I30" s="148" t="str">
        <x:v>S</x:v>
      </x:c>
      <x:c r="J30" s="151" t="n">
        <x:v>0.15</x:v>
      </x:c>
      <x:c r="K30" s="150" t="str">
        <x:f>IF(H30="","",ROUND(H30*J30,2))</x:f>
      </x:c>
      <x:c r="L30" s="152" t="str">
        <x:f>IF(H30="","",ROUND(H30+K30,2))</x:f>
      </x:c>
    </x:row>
    <x:row r="31">
      <x:c r="A31" s="122"/>
      <x:c r="B31" s="122"/>
      <x:c r="C31" s="122"/>
      <x:c r="D31" s="122"/>
      <x:c r="E31" s="122"/>
      <x:c r="F31" s="122"/>
      <x:c r="G31" s="122"/>
      <x:c r="H31" s="122"/>
      <x:c r="I31" s="122"/>
      <x:c r="J31" s="122"/>
      <x:c r="K31" s="122"/>
      <x:c r="L31" s="122"/>
    </x:row>
    <x:row r="32">
      <x:c r="A32" s="122" t="str">
        <x:v>سبب الإعفاء أو التوريد الصفري</x:v>
      </x:c>
      <x:c r="B32" s="122"/>
      <x:c r="C32" s="123" t="str"/>
      <x:c r="D32" s="124" t="str"/>
      <x:c r="E32" s="124" t="str"/>
      <x:c r="F32" s="125" t="str"/>
      <x:c r="G32" s="122" t="str">
        <x:v>رمز السبب</x:v>
      </x:c>
      <x:c r="H32" s="122"/>
      <x:c r="I32" s="123" t="str"/>
      <x:c r="J32" s="124" t="str"/>
      <x:c r="K32" s="124" t="str"/>
      <x:c r="L32" s="125" t="str"/>
    </x:row>
    <x:row r="33">
      <x:c r="A33" s="122"/>
      <x:c r="B33" s="122"/>
      <x:c r="C33" s="122"/>
      <x:c r="D33" s="122"/>
      <x:c r="E33" s="122"/>
      <x:c r="F33" s="122"/>
      <x:c r="G33" s="122"/>
      <x:c r="H33" s="122"/>
      <x:c r="I33" s="122"/>
      <x:c r="J33" s="122"/>
      <x:c r="K33" s="122"/>
      <x:c r="L33" s="122"/>
    </x:row>
    <x:row r="34">
      <x:c r="A34" s="122" t="str">
        <x:v>ملاحظات</x:v>
      </x:c>
      <x:c r="B34" s="122"/>
      <x:c r="C34" s="123" t="str"/>
      <x:c r="D34" s="124" t="str"/>
      <x:c r="E34" s="124" t="str"/>
      <x:c r="F34" s="125" t="str"/>
      <x:c r="G34" s="153" t="str">
        <x:v>إجمالي الصافي قبل الضريبة</x:v>
      </x:c>
      <x:c r="H34" s="153"/>
      <x:c r="I34" s="153"/>
      <x:c r="J34" s="153"/>
      <x:c r="K34" s="153"/>
      <x:c r="L34" s="154" t="n">
        <x:f>IF(COUNTA(C16:C30)=0,"",ROUND(SUM(H16:H30),2))</x:f>
        <x:v>0</x:v>
      </x:c>
    </x:row>
    <x:row r="35">
      <x:c r="A35" s="122" t="str">
        <x:v>طريقة الدفع</x:v>
      </x:c>
      <x:c r="B35" s="122"/>
      <x:c r="C35" s="123" t="str"/>
      <x:c r="D35" s="124" t="str"/>
      <x:c r="E35" s="124" t="str"/>
      <x:c r="F35" s="125" t="str"/>
      <x:c r="G35" s="153" t="str">
        <x:v>إجمالي ضريبة القيمة المضافة</x:v>
      </x:c>
      <x:c r="H35" s="153"/>
      <x:c r="I35" s="153"/>
      <x:c r="J35" s="153"/>
      <x:c r="K35" s="153"/>
      <x:c r="L35" s="154" t="str">
        <x:f>IF(L34="","",ROUND(SUM(K16:K30),2))</x:f>
      </x:c>
    </x:row>
    <x:row r="36">
      <x:c r="A36" s="122" t="str">
        <x:v>IBAN</x:v>
      </x:c>
      <x:c r="B36" s="122"/>
      <x:c r="C36" s="123" t="str"/>
      <x:c r="D36" s="124" t="str"/>
      <x:c r="E36" s="124" t="str"/>
      <x:c r="F36" s="125" t="str"/>
      <x:c r="G36" s="153" t="str">
        <x:v>الإجمالي شامل الضريبة</x:v>
      </x:c>
      <x:c r="H36" s="153"/>
      <x:c r="I36" s="153"/>
      <x:c r="J36" s="153"/>
      <x:c r="K36" s="153"/>
      <x:c r="L36" s="154" t="str">
        <x:f>IF(L34="","",ROUND(L34+L35,2))</x:f>
      </x:c>
    </x:row>
    <x:row r="37">
      <x:c r="A37" s="122" t="str">
        <x:v>شروط السداد</x:v>
      </x:c>
      <x:c r="B37" s="122"/>
      <x:c r="C37" s="123" t="str"/>
      <x:c r="D37" s="124" t="str"/>
      <x:c r="E37" s="124" t="str"/>
      <x:c r="F37" s="125" t="str"/>
      <x:c r="G37" s="153" t="str">
        <x:v>المبلغ المدفوع مقدمًا</x:v>
      </x:c>
      <x:c r="H37" s="153"/>
      <x:c r="I37" s="153"/>
      <x:c r="J37" s="153"/>
      <x:c r="K37" s="153"/>
      <x:c r="L37" s="155" t="str"/>
    </x:row>
    <x:row r="38">
      <x:c r="A38" s="122"/>
      <x:c r="B38" s="122"/>
      <x:c r="C38" s="122"/>
      <x:c r="D38" s="122"/>
      <x:c r="E38" s="122"/>
      <x:c r="F38" s="122"/>
      <x:c r="G38" s="153" t="str">
        <x:v>التقريب</x:v>
      </x:c>
      <x:c r="H38" s="153"/>
      <x:c r="I38" s="153"/>
      <x:c r="J38" s="153"/>
      <x:c r="K38" s="153"/>
      <x:c r="L38" s="155" t="str"/>
    </x:row>
    <x:row r="39">
      <x:c r="A39" s="105" t="str">
        <x:v>مكان رمز QR
يولده نظام فوترة إلكترونية متوافق مع متطلبات الهيئة</x:v>
      </x:c>
      <x:c r="B39" s="106" t="str">
        <x:v>مكان رمز QR
يولده نظام فوترة إلكترونية متوافق مع متطلبات الهيئة</x:v>
      </x:c>
      <x:c r="C39" s="106" t="str">
        <x:v>مكان رمز QR
يولده نظام فوترة إلكترونية متوافق مع متطلبات الهيئة</x:v>
      </x:c>
      <x:c r="D39" s="106" t="str">
        <x:v>مكان رمز QR
يولده نظام فوترة إلكترونية متوافق مع متطلبات الهيئة</x:v>
      </x:c>
      <x:c r="E39" s="106" t="str">
        <x:v>مكان رمز QR
يولده نظام فوترة إلكترونية متوافق مع متطلبات الهيئة</x:v>
      </x:c>
      <x:c r="F39" s="107" t="str">
        <x:v>مكان رمز QR
يولده نظام فوترة إلكترونية متوافق مع متطلبات الهيئة</x:v>
      </x:c>
      <x:c r="G39" s="153" t="str">
        <x:v>المبلغ المستحق</x:v>
      </x:c>
      <x:c r="H39" s="153"/>
      <x:c r="I39" s="153"/>
      <x:c r="J39" s="153"/>
      <x:c r="K39" s="153"/>
      <x:c r="L39" s="156" t="str">
        <x:f>IF(L36="","",ROUND(L36-IF(L37="",0,L37)+IF(L38="",0,L38),2))</x:f>
      </x:c>
    </x:row>
    <x:row r="40">
      <x:c r="A40" s="108" t="str">
        <x:v>مكان رمز QR
يولده نظام فوترة إلكترونية متوافق مع متطلبات الهيئة</x:v>
      </x:c>
      <x:c r="B40" s="109" t="str">
        <x:v>مكان رمز QR
يولده نظام فوترة إلكترونية متوافق مع متطلبات الهيئة</x:v>
      </x:c>
      <x:c r="C40" s="109" t="str">
        <x:v>مكان رمز QR
يولده نظام فوترة إلكترونية متوافق مع متطلبات الهيئة</x:v>
      </x:c>
      <x:c r="D40" s="109" t="str">
        <x:v>مكان رمز QR
يولده نظام فوترة إلكترونية متوافق مع متطلبات الهيئة</x:v>
      </x:c>
      <x:c r="E40" s="109" t="str">
        <x:v>مكان رمز QR
يولده نظام فوترة إلكترونية متوافق مع متطلبات الهيئة</x:v>
      </x:c>
      <x:c r="F40" s="110" t="str">
        <x:v>مكان رمز QR
يولده نظام فوترة إلكترونية متوافق مع متطلبات الهيئة</x:v>
      </x:c>
      <x:c r="G40" s="122"/>
      <x:c r="H40" s="122"/>
      <x:c r="I40" s="122"/>
      <x:c r="J40" s="122"/>
      <x:c r="K40" s="122"/>
      <x:c r="L40" s="122"/>
    </x:row>
    <x:row r="41">
      <x:c r="A41" s="108" t="str">
        <x:v>مكان رمز QR
يولده نظام فوترة إلكترونية متوافق مع متطلبات الهيئة</x:v>
      </x:c>
      <x:c r="B41" s="109" t="str">
        <x:v>مكان رمز QR
يولده نظام فوترة إلكترونية متوافق مع متطلبات الهيئة</x:v>
      </x:c>
      <x:c r="C41" s="109" t="str">
        <x:v>مكان رمز QR
يولده نظام فوترة إلكترونية متوافق مع متطلبات الهيئة</x:v>
      </x:c>
      <x:c r="D41" s="109" t="str">
        <x:v>مكان رمز QR
يولده نظام فوترة إلكترونية متوافق مع متطلبات الهيئة</x:v>
      </x:c>
      <x:c r="E41" s="109" t="str">
        <x:v>مكان رمز QR
يولده نظام فوترة إلكترونية متوافق مع متطلبات الهيئة</x:v>
      </x:c>
      <x:c r="F41" s="110" t="str">
        <x:v>مكان رمز QR
يولده نظام فوترة إلكترونية متوافق مع متطلبات الهيئة</x:v>
      </x:c>
      <x:c r="G41" s="122"/>
      <x:c r="H41" s="122"/>
      <x:c r="I41" s="122"/>
      <x:c r="J41" s="122"/>
      <x:c r="K41" s="122"/>
      <x:c r="L41" s="122"/>
    </x:row>
    <x:row r="42">
      <x:c r="A42" s="111" t="str">
        <x:v>مكان رمز QR
يولده نظام فوترة إلكترونية متوافق مع متطلبات الهيئة</x:v>
      </x:c>
      <x:c r="B42" s="112" t="str">
        <x:v>مكان رمز QR
يولده نظام فوترة إلكترونية متوافق مع متطلبات الهيئة</x:v>
      </x:c>
      <x:c r="C42" s="112" t="str">
        <x:v>مكان رمز QR
يولده نظام فوترة إلكترونية متوافق مع متطلبات الهيئة</x:v>
      </x:c>
      <x:c r="D42" s="112" t="str">
        <x:v>مكان رمز QR
يولده نظام فوترة إلكترونية متوافق مع متطلبات الهيئة</x:v>
      </x:c>
      <x:c r="E42" s="112" t="str">
        <x:v>مكان رمز QR
يولده نظام فوترة إلكترونية متوافق مع متطلبات الهيئة</x:v>
      </x:c>
      <x:c r="F42" s="113" t="str">
        <x:v>مكان رمز QR
يولده نظام فوترة إلكترونية متوافق مع متطلبات الهيئة</x:v>
      </x:c>
      <x:c r="G42" s="122"/>
      <x:c r="H42" s="122"/>
      <x:c r="I42" s="122"/>
      <x:c r="J42" s="122"/>
      <x:c r="K42" s="122"/>
      <x:c r="L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  <x:c r="I43" s="122"/>
      <x:c r="J43" s="122"/>
      <x:c r="K43" s="122"/>
      <x:c r="L43" s="122"/>
    </x:row>
    <x:row r="44">
      <x:c r="A44" s="14" t="str">
        <x:v>بيانات الربط الإلكتروني — يولدها النظام المتوافق</x:v>
      </x:c>
      <x:c r="B44" s="15" t="str">
        <x:v>بيانات الربط الإلكتروني — يولدها النظام المتوافق</x:v>
      </x:c>
      <x:c r="C44" s="15" t="str">
        <x:v>بيانات الربط الإلكتروني — يولدها النظام المتوافق</x:v>
      </x:c>
      <x:c r="D44" s="15" t="str">
        <x:v>بيانات الربط الإلكتروني — يولدها النظام المتوافق</x:v>
      </x:c>
      <x:c r="E44" s="15" t="str">
        <x:v>بيانات الربط الإلكتروني — يولدها النظام المتوافق</x:v>
      </x:c>
      <x:c r="F44" s="15" t="str">
        <x:v>بيانات الربط الإلكتروني — يولدها النظام المتوافق</x:v>
      </x:c>
      <x:c r="G44" s="15" t="str">
        <x:v>بيانات الربط الإلكتروني — يولدها النظام المتوافق</x:v>
      </x:c>
      <x:c r="H44" s="15" t="str">
        <x:v>بيانات الربط الإلكتروني — يولدها النظام المتوافق</x:v>
      </x:c>
      <x:c r="I44" s="15" t="str">
        <x:v>بيانات الربط الإلكتروني — يولدها النظام المتوافق</x:v>
      </x:c>
      <x:c r="J44" s="15" t="str">
        <x:v>بيانات الربط الإلكتروني — يولدها النظام المتوافق</x:v>
      </x:c>
      <x:c r="K44" s="15" t="str">
        <x:v>بيانات الربط الإلكتروني — يولدها النظام المتوافق</x:v>
      </x:c>
      <x:c r="L44" s="16" t="str">
        <x:v>بيانات الربط الإلكتروني — يولدها النظام المتوافق</x:v>
      </x:c>
    </x:row>
    <x:row r="45">
      <x:c r="A45" s="122" t="str">
        <x:v>UUID</x:v>
      </x:c>
      <x:c r="B45" s="122"/>
      <x:c r="C45" s="123" t="str"/>
      <x:c r="D45" s="124" t="str"/>
      <x:c r="E45" s="124" t="str"/>
      <x:c r="F45" s="125" t="str"/>
      <x:c r="G45" s="122" t="str">
        <x:v>رمز نوع الفاتورة</x:v>
      </x:c>
      <x:c r="H45" s="122"/>
      <x:c r="I45" s="126" t="n">
        <x:v>388</x:v>
      </x:c>
      <x:c r="J45" s="127" t="n">
        <x:v>388</x:v>
      </x:c>
      <x:c r="K45" s="127" t="n">
        <x:v>388</x:v>
      </x:c>
      <x:c r="L45" s="128" t="n">
        <x:v>388</x:v>
      </x:c>
    </x:row>
    <x:row r="46">
      <x:c r="A46" s="122" t="str">
        <x:v>عداد الفاتورة ICV</x:v>
      </x:c>
      <x:c r="B46" s="122"/>
      <x:c r="C46" s="123" t="str"/>
      <x:c r="D46" s="124" t="str"/>
      <x:c r="E46" s="124" t="str"/>
      <x:c r="F46" s="125" t="str"/>
      <x:c r="G46" s="122" t="str">
        <x:v>النوع الفرعي</x:v>
      </x:c>
      <x:c r="H46" s="122"/>
      <x:c r="I46" s="157" t="n">
        <x:v>1</x:v>
      </x:c>
      <x:c r="J46" s="158" t="n">
        <x:v>1</x:v>
      </x:c>
      <x:c r="K46" s="158" t="n">
        <x:v>1</x:v>
      </x:c>
      <x:c r="L46" s="159" t="n">
        <x:v>1</x:v>
      </x:c>
    </x:row>
    <x:row r="47">
      <x:c r="A47" s="122" t="str">
        <x:v>بصمة الفاتورة السابقة PIH</x:v>
      </x:c>
      <x:c r="B47" s="122"/>
      <x:c r="C47" s="123" t="str"/>
      <x:c r="D47" s="124" t="str"/>
      <x:c r="E47" s="124" t="str"/>
      <x:c r="F47" s="125" t="str"/>
      <x:c r="G47" s="160" t="str">
        <x:v>الختم والتوقيع التشفيري وQR يولدها نظام الفوترة المتوافق</x:v>
      </x:c>
      <x:c r="H47" s="160" t="str">
        <x:v>الختم والتوقيع التشفيري وQR يولدها نظام الفوترة المتوافق</x:v>
      </x:c>
      <x:c r="I47" s="160" t="str">
        <x:v>الختم والتوقيع التشفيري وQR يولدها نظام الفوترة المتوافق</x:v>
      </x:c>
      <x:c r="J47" s="160" t="str">
        <x:v>الختم والتوقيع التشفيري وQR يولدها نظام الفوترة المتوافق</x:v>
      </x:c>
      <x:c r="K47" s="160" t="str">
        <x:v>الختم والتوقيع التشفيري وQR يولدها نظام الفوترة المتوافق</x:v>
      </x:c>
      <x:c r="L47" s="160" t="str">
        <x:v>الختم والتوقيع التشفيري وQR يولدها نظام الفوترة المتوافق</x:v>
      </x:c>
    </x:row>
  </x:sheetData>
  <x:mergeCells>
    <x:mergeCell ref="A1:L2"/>
    <x:mergeCell ref="A3:F3"/>
    <x:mergeCell ref="G3:L3"/>
    <x:mergeCell ref="C4:F4"/>
    <x:mergeCell ref="C5:F5"/>
    <x:mergeCell ref="C6:F6"/>
    <x:mergeCell ref="C7:F7"/>
    <x:mergeCell ref="I4:L4"/>
    <x:mergeCell ref="I5:L5"/>
    <x:mergeCell ref="I6:L6"/>
    <x:mergeCell ref="I7:L7"/>
    <x:mergeCell ref="I8:L8"/>
    <x:mergeCell ref="A10:L10"/>
    <x:mergeCell ref="C11:F11"/>
    <x:mergeCell ref="C12:F12"/>
    <x:mergeCell ref="C13:F13"/>
    <x:mergeCell ref="I11:L11"/>
    <x:mergeCell ref="I12:L12"/>
    <x:mergeCell ref="I13:L13"/>
    <x:mergeCell ref="C32:F32"/>
    <x:mergeCell ref="I32:L32"/>
    <x:mergeCell ref="C34:F34"/>
    <x:mergeCell ref="C35:F35"/>
    <x:mergeCell ref="C36:F36"/>
    <x:mergeCell ref="C37:F37"/>
    <x:mergeCell ref="A39:F42"/>
    <x:mergeCell ref="A44:L44"/>
    <x:mergeCell ref="C45:F45"/>
    <x:mergeCell ref="C46:F46"/>
    <x:mergeCell ref="I45:L45"/>
    <x:mergeCell ref="I46:L46"/>
    <x:mergeCell ref="C47:F47"/>
    <x:mergeCell ref="G47:L47"/>
  </x:mergeCells>
  <x:dataValidations count="5">
    <x:dataValidation type="decimal" operator="greaterThanOrEqual" sqref="D16:D30">
      <x:formula1>0</x:formula1>
    </x:dataValidation>
    <x:dataValidation type="decimal" operator="greaterThanOrEqual" sqref="F16:G30">
      <x:formula1>0</x:formula1>
    </x:dataValidation>
    <x:dataValidation type="list" sqref="I16:I30">
      <x:formula1>"S,Z,E,O"</x:formula1>
    </x:dataValidation>
    <x:dataValidation type="decimal" operator="between" sqref="J16:J30">
      <x:formula1>0</x:formula1>
      <x:formula2>1</x:formula2>
    </x:dataValidation>
    <x:dataValidation type="list" sqref="C35:F35">
      <x:formula1>"نقدي,تحويل بنكي,بطاقة,آجل,شيك"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5" hidden="0" customWidth="1"/>
    <x:col min="3" max="3" width="24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163" t="str">
        <x:v>متطلبات استخدام قالب الفاتورة السعودية</x:v>
      </x:c>
      <x:c r="B1" s="163" t="str">
        <x:v>متطلبات استخدام قالب الفاتورة السعودية</x:v>
      </x:c>
      <x:c r="C1" s="163" t="str">
        <x:v>متطلبات استخدام قالب الفاتورة السعودية</x:v>
      </x:c>
      <x:c r="D1" s="163" t="str">
        <x:v>متطلبات استخدام قالب الفاتورة السعودية</x:v>
      </x:c>
      <x:c r="E1" s="163" t="str">
        <x:v>متطلبات استخدام قالب الفاتورة السعودية</x:v>
      </x:c>
      <x:c r="F1" s="163" t="str">
        <x:v>متطلبات استخدام قالب الفاتورة السعودية</x:v>
      </x:c>
    </x:row>
    <x:row r="2">
      <x:c r="A2" s="163" t="str">
        <x:v>متطلبات استخدام قالب الفاتورة السعودية</x:v>
      </x:c>
      <x:c r="B2" s="163" t="str">
        <x:v>متطلبات استخدام قالب الفاتورة السعودية</x:v>
      </x:c>
      <x:c r="C2" s="163" t="str">
        <x:v>متطلبات استخدام قالب الفاتورة السعودية</x:v>
      </x:c>
      <x:c r="D2" s="163" t="str">
        <x:v>متطلبات استخدام قالب الفاتورة السعودية</x:v>
      </x:c>
      <x:c r="E2" s="163" t="str">
        <x:v>متطلبات استخدام قالب الفاتورة السعودية</x:v>
      </x:c>
      <x:c r="F2" s="163" t="str">
        <x:v>متطلبات استخدام قالب الفاتورة السعودية</x:v>
      </x:c>
    </x:row>
    <x:row r="3">
      <x:c r="A3" s="1"/>
      <x:c r="B3" s="1"/>
      <x:c r="C3" s="1"/>
      <x:c r="D3" s="1"/>
      <x:c r="E3" s="1"/>
      <x:c r="F3" s="1"/>
    </x:row>
    <x:row r="4" ht="34" customHeight="1">
      <x:c r="A4" s="178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4" s="180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5" ht="34" customHeight="1">
      <x:c r="A5" s="181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5" s="183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6">
      <x:c r="A6" s="1"/>
      <x:c r="B6" s="1"/>
      <x:c r="C6" s="1"/>
      <x:c r="D6" s="1"/>
      <x:c r="E6" s="1"/>
      <x:c r="F6" s="1"/>
    </x:row>
    <x:row r="7">
      <x:c r="A7" s="186" t="str">
        <x:v>الحقل</x:v>
      </x:c>
      <x:c r="B7" s="187" t="str">
        <x:v>القياسية B2B</x:v>
      </x:c>
      <x:c r="C7" s="188" t="str">
        <x:v>المبسطة B2C</x:v>
      </x:c>
      <x:c r="D7" s="1"/>
      <x:c r="E7" s="1"/>
      <x:c r="F7" s="1"/>
    </x:row>
    <x:row r="8">
      <x:c r="A8" s="43" t="str">
        <x:v>عنوان نوع الفاتورة</x:v>
      </x:c>
      <x:c r="B8" s="44" t="str">
        <x:v>مطلوب</x:v>
      </x:c>
      <x:c r="C8" s="45" t="str">
        <x:v>مطلوب</x:v>
      </x:c>
      <x:c r="D8" s="1"/>
      <x:c r="E8" s="1"/>
      <x:c r="F8" s="1"/>
    </x:row>
    <x:row r="9">
      <x:c r="A9" s="43" t="str">
        <x:v>رقم وتاريخ ووقت الإصدار</x:v>
      </x:c>
      <x:c r="B9" s="44" t="str">
        <x:v>مطلوب</x:v>
      </x:c>
      <x:c r="C9" s="45" t="str">
        <x:v>مطلوب</x:v>
      </x:c>
      <x:c r="D9" s="1"/>
      <x:c r="E9" s="1"/>
      <x:c r="F9" s="1"/>
    </x:row>
    <x:row r="10">
      <x:c r="A10" s="43" t="str">
        <x:v>اسم وعنوان المورد ورقمه الضريبي</x:v>
      </x:c>
      <x:c r="B10" s="44" t="str">
        <x:v>مطلوب</x:v>
      </x:c>
      <x:c r="C10" s="45" t="str">
        <x:v>مطلوب</x:v>
      </x:c>
      <x:c r="D10" s="1"/>
      <x:c r="E10" s="1"/>
      <x:c r="F10" s="1"/>
    </x:row>
    <x:row r="11">
      <x:c r="A11" s="43" t="str">
        <x:v>اسم وعنوان المشتري</x:v>
      </x:c>
      <x:c r="B11" s="44" t="str">
        <x:v>مطلوب</x:v>
      </x:c>
      <x:c r="C11" s="45" t="str">
        <x:v>اختياري حسب الحالة</x:v>
      </x:c>
      <x:c r="D11" s="1"/>
      <x:c r="E11" s="1"/>
      <x:c r="F11" s="1"/>
    </x:row>
    <x:row r="12">
      <x:c r="A12" s="43" t="str">
        <x:v>رقم المشتري الضريبي أو معرّف آخر</x:v>
      </x:c>
      <x:c r="B12" s="44" t="str">
        <x:v>مطلوب حسب الحالة</x:v>
      </x:c>
      <x:c r="C12" s="45" t="str">
        <x:v>اختياري</x:v>
      </x:c>
      <x:c r="D12" s="1"/>
      <x:c r="E12" s="1"/>
      <x:c r="F12" s="1"/>
    </x:row>
    <x:row r="13">
      <x:c r="A13" s="43" t="str">
        <x:v>وصف وكمية وسعر البنود</x:v>
      </x:c>
      <x:c r="B13" s="44" t="str">
        <x:v>مطلوب</x:v>
      </x:c>
      <x:c r="C13" s="45" t="str">
        <x:v>مطلوب</x:v>
      </x:c>
      <x:c r="D13" s="1"/>
      <x:c r="E13" s="1"/>
      <x:c r="F13" s="1"/>
    </x:row>
    <x:row r="14">
      <x:c r="A14" s="43" t="str">
        <x:v>فئة ونسبة الضريبة لكل سطر</x:v>
      </x:c>
      <x:c r="B14" s="44" t="str">
        <x:v>مطلوب</x:v>
      </x:c>
      <x:c r="C14" s="45" t="str">
        <x:v>مطلوب</x:v>
      </x:c>
      <x:c r="D14" s="1"/>
      <x:c r="E14" s="1"/>
      <x:c r="F14" s="1"/>
    </x:row>
    <x:row r="15">
      <x:c r="A15" s="43" t="str">
        <x:v>الإجماليات والضريبة والمبلغ المستحق</x:v>
      </x:c>
      <x:c r="B15" s="44" t="str">
        <x:v>مطلوب</x:v>
      </x:c>
      <x:c r="C15" s="45" t="str">
        <x:v>مطلوب</x:v>
      </x:c>
      <x:c r="D15" s="1"/>
      <x:c r="E15" s="1"/>
      <x:c r="F15" s="1"/>
    </x:row>
    <x:row r="16">
      <x:c r="A16" s="43" t="str">
        <x:v>سبب الإعفاء أو الصفرية عند التطبيق</x:v>
      </x:c>
      <x:c r="B16" s="44" t="str">
        <x:v>مطلوب عند التطبيق</x:v>
      </x:c>
      <x:c r="C16" s="45" t="str">
        <x:v>مطلوب عند التطبيق</x:v>
      </x:c>
      <x:c r="D16" s="1"/>
      <x:c r="E16" s="1"/>
      <x:c r="F16" s="1"/>
    </x:row>
    <x:row r="17">
      <x:c r="A17" s="43" t="str">
        <x:v>رمز QR من النظام</x:v>
      </x:c>
      <x:c r="B17" s="44" t="str">
        <x:v>وفق متطلبات المرحلة المطبقة</x:v>
      </x:c>
      <x:c r="C17" s="45" t="str">
        <x:v>إلزامي</x:v>
      </x:c>
      <x:c r="D17" s="1"/>
      <x:c r="E17" s="1"/>
      <x:c r="F17" s="1"/>
    </x:row>
    <x:row r="18">
      <x:c r="A18" s="46" t="str">
        <x:v>UUID وICV وPIH والتوقيع</x:v>
      </x:c>
      <x:c r="B18" s="47" t="str">
        <x:v>يولدها النظام في مرحلة الربط</x:v>
      </x:c>
      <x:c r="C18" s="48" t="str">
        <x:v>يولدها النظام في مرحلة الربط</x:v>
      </x:c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90" t="str">
        <x:v>المصادر الرسمية</x:v>
      </x:c>
      <x:c r="B20" s="190"/>
      <x:c r="C20" s="190"/>
      <x:c r="D20" s="190"/>
      <x:c r="E20" s="190"/>
      <x:c r="F20" s="190"/>
    </x:row>
    <x:row r="21">
      <x:c r="A21" s="191" t="str">
        <x:v>اللائحة التنفيذية لضريبة القيمة المضافة</x:v>
      </x:c>
      <x:c r="B21" s="191" t="str">
        <x:v>https://zatca.gov.sa/ar/RulesRegulations/Taxes/Documents/VAT%20Implementing%20Regulations_AR_6.pdf</x:v>
      </x:c>
      <x:c r="C21" s="191"/>
      <x:c r="D21" s="191"/>
      <x:c r="E21" s="191"/>
      <x:c r="F21" s="191"/>
    </x:row>
    <x:row r="22">
      <x:c r="A22" s="191" t="str">
        <x:v>مواصفات الفاتورة الإلكترونية</x:v>
      </x:c>
      <x:c r="B22" s="191" t="str">
        <x:v>https://zatca.gov.sa/ar/E-Invoicing/SystemsDevelopers/Pages/E-Invoice-specifications.aspx</x:v>
      </x:c>
      <x:c r="C22" s="191"/>
      <x:c r="D22" s="191"/>
      <x:c r="E22" s="191"/>
      <x:c r="F22" s="191"/>
    </x:row>
    <x:row r="23">
      <x:c r="A23" s="191" t="str">
        <x:v>المعيار الفني XML الإصدار 1.2</x:v>
      </x:c>
      <x:c r="B23" s="191" t="str">
        <x:v>https://zatca.gov.sa/ar/E-Invoicing/SystemsDevelopers/Documents/20230519_ZATCA_Electronic_Invoice_XML_Implementation_Standard_%20vTrack.pdf</x:v>
      </x:c>
      <x:c r="C23" s="191"/>
      <x:c r="D23" s="191"/>
      <x:c r="E23" s="191"/>
      <x:c r="F23" s="191"/>
    </x:row>
    <x:row r="24">
      <x:c r="A24" s="191" t="str">
        <x:v>الاستعداد للفوترة الإلكترونية</x:v>
      </x:c>
      <x:c r="B24" s="191" t="str">
        <x:v>https://zatca.gov.sa/en/E-Invoicing/PreparingYourBusiness/Phase1/Pages/How-to-prepare.aspx</x:v>
      </x:c>
      <x:c r="C24" s="191"/>
      <x:c r="D24" s="191"/>
      <x:c r="E24" s="191"/>
      <x:c r="F24" s="191"/>
    </x:row>
  </x:sheetData>
  <x:mergeCells>
    <x:mergeCell ref="A1:F2"/>
    <x:mergeCell ref="A4:F5"/>
  </x:mergeCells>
  <x:pageMargins left="0.7" right="0.7" top="0.75" bottom="0.75" header="0.3" footer="0.3"/>
</x:worksheet>
</file>