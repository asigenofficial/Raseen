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فاتورة (فارغ للإدخال)" state="visible" r:id="rId4"/>
    <sheet sheetId="2" name="الفاتورة الأصلية (عينة مطابقة)" state="visible" r:id="rId5"/>
  </sheets>
  <calcPr calcId="171027"/>
</workbook>
</file>

<file path=xl/sharedStrings.xml><?xml version="1.0" encoding="utf-8"?>
<sst xmlns="http://schemas.openxmlformats.org/spreadsheetml/2006/main" count="146" uniqueCount="47">
  <si>
    <t>مؤسسة رواسي ينبع للاتصالات</t>
  </si>
  <si>
    <t xml:space="preserve">فاتورة ضريبية
TAX INVOICE</t>
  </si>
  <si>
    <t>Rawasi Yanbu Telecommunications Est.</t>
  </si>
  <si>
    <t>السعودية_ينبع_طريق الملك عبدالعزيز_حي الزهور</t>
  </si>
  <si>
    <t>Saudi Arabia_Yanbu_King Abdulaziz Road_Al-Zuhur Dis.</t>
  </si>
  <si>
    <t>الرقم الضريبي: 302186150800003</t>
  </si>
  <si>
    <t>VAT: 302186150800003</t>
  </si>
  <si>
    <t>السجل التجاري: 7204077252</t>
  </si>
  <si>
    <t>CR: 7204077252</t>
  </si>
  <si>
    <t>بيانات العميل / Customer Details</t>
  </si>
  <si>
    <t>بيانات الفاتورة / Invoice Details</t>
  </si>
  <si>
    <t>العميل:</t>
  </si>
  <si>
    <t/>
  </si>
  <si>
    <t>رقم الفاتورة:</t>
  </si>
  <si>
    <t>الرقم الضريبي:</t>
  </si>
  <si>
    <t>التاريخ:</t>
  </si>
  <si>
    <t>السجل التجاري:</t>
  </si>
  <si>
    <t>نوع الفاتورة:</t>
  </si>
  <si>
    <t>أجل</t>
  </si>
  <si>
    <t>العنوان:</t>
  </si>
  <si>
    <t>طريقة الدفع:</t>
  </si>
  <si>
    <t>ذمم مدينة (آجل)</t>
  </si>
  <si>
    <t>#</t>
  </si>
  <si>
    <t>رقم الصنف</t>
  </si>
  <si>
    <t>البيان (الوصف)</t>
  </si>
  <si>
    <t>سعر الوحدة</t>
  </si>
  <si>
    <t>الكمية</t>
  </si>
  <si>
    <t>قبل الضريبة</t>
  </si>
  <si>
    <t>الضريبة (15%)</t>
  </si>
  <si>
    <t>شامل الضريبة</t>
  </si>
  <si>
    <t>ملاحظة / المبلغ كتابة</t>
  </si>
  <si>
    <t>ملخص الفاتورة</t>
  </si>
  <si>
    <t>يتم تفقيط المبلغ هنا تلقائياً أو كتابة ملاحظات الفاتورة</t>
  </si>
  <si>
    <t>الإجمالي (قبل الضريبة):</t>
  </si>
  <si>
    <t>الخصم:</t>
  </si>
  <si>
    <t>ضريبة القيمة المضافة (15%):</t>
  </si>
  <si>
    <t>الصافي النهائي (شامل الضريبة):</t>
  </si>
  <si>
    <t>رمز التحقق والفوترة الإلكترونية (ZATCA QR)</t>
  </si>
  <si>
    <t>محل موجة تردد لبيع الجوالات وصيانتها</t>
  </si>
  <si>
    <t>ROASI/2026/25866</t>
  </si>
  <si>
    <t>310122313700003</t>
  </si>
  <si>
    <t>2026-07-23</t>
  </si>
  <si>
    <t>7010653520</t>
  </si>
  <si>
    <t>Saudi Arabia ,Jeddah,Zip Code.building No.23218,plastin street,alsharqeh dist.</t>
  </si>
  <si>
    <t>G3-C8-00281</t>
  </si>
  <si>
    <t>ازرق 512 برو17</t>
  </si>
  <si>
    <t>خمسة آلاف ومائة ريال سعودي لا 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</si>
</sst>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ر.س&quot;"/>
  </numFmts>
  <fonts count="13" x14ac:knownFonts="1">
    <font>
      <color theme="1"/>
      <family val="2"/>
      <scheme val="minor"/>
      <sz val="11"/>
      <name val="Calibri"/>
    </font>
    <font>
      <b/>
      <color rgb="FF1F3864"/>
      <sz val="14"/>
      <name val="Calibri"/>
    </font>
    <font>
      <b/>
      <color rgb="FF1F3864"/>
      <sz val="12"/>
      <name val="Calibri"/>
    </font>
    <font>
      <b/>
      <color rgb="FF1F3864"/>
      <sz val="11"/>
      <name val="Calibri"/>
    </font>
    <font>
      <color rgb="FF595959"/>
      <sz val="9"/>
      <name val="Calibri"/>
    </font>
    <font>
      <b/>
      <sz val="10"/>
      <name val="Calibri"/>
    </font>
    <font>
      <sz val="10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color rgb="FF1F3864"/>
      <sz val="10"/>
      <name val="Calibri"/>
    </font>
    <font>
      <b/>
      <i/>
      <sz val="10"/>
      <name val="Calibri"/>
    </font>
    <font>
      <i/>
      <color rgb="FF7F7F7F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9EEF4"/>
      </patternFill>
    </fill>
    <fill>
      <patternFill patternType="solid">
        <fgColor rgb="FF2F5597"/>
      </patternFill>
    </fill>
    <fill>
      <patternFill patternType="solid">
        <fgColor rgb="FFFFFAF0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double">
        <color rgb="FF11111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right" vertical="center"/>
    </xf>
    <xf numFmtId="4" fontId="9" fillId="6" borderId="2" xfId="0" applyNumberFormat="1" applyFont="1" applyFill="1" applyBorder="1" applyAlignment="1">
      <alignment horizontal="right" vertical="center"/>
    </xf>
    <xf numFmtId="4" fontId="9" fillId="6" borderId="2" xfId="0" applyNumberFormat="1" applyFont="1" applyFill="1" applyBorder="1" applyAlignment="1">
      <alignment horizontal="center" vertical="center"/>
    </xf>
    <xf numFmtId="4" fontId="9" fillId="0" borderId="2" xfId="0" applyNumberFormat="1" applyFont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left" vertical="center"/>
    </xf>
    <xf numFmtId="0" fontId="5" fillId="8" borderId="3" xfId="0" applyFont="1" applyFill="1" applyBorder="1" applyAlignment="1">
      <alignment horizontal="right" vertical="center"/>
    </xf>
    <xf numFmtId="164" fontId="3" fillId="8" borderId="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2" xfId="0" applyFont="1" applyBorder="1" applyAlignment="1">
      <alignment horizontal="right" vertical="center"/>
    </xf>
    <xf numFmtId="4" fontId="9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14000</xdr:colOff>
      <xdr:row>33</xdr:row>
      <xdr:rowOff>143999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14000</xdr:colOff>
      <xdr:row>33</xdr:row>
      <xdr:rowOff>143999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workbookViewId="0" rightToLeft="1"/>
  </sheetViews>
  <sheetFormatPr defaultRowHeight="15" outlineLevelRow="0" outlineLevelCol="0" x14ac:dyDescent="55"/>
  <cols>
    <col min="1" max="1" width="7" customWidth="1"/>
    <col min="2" max="2" width="16" customWidth="1"/>
    <col min="3" max="3" width="34" customWidth="1"/>
    <col min="4" max="4" width="14" customWidth="1"/>
    <col min="5" max="5" width="10" customWidth="1"/>
    <col min="6" max="6" width="16" customWidth="1"/>
    <col min="7" max="7" width="14" customWidth="1"/>
    <col min="8" max="8" width="18" customWidth="1"/>
  </cols>
  <sheetData>
    <row r="2" spans="1:8" x14ac:dyDescent="0.25">
      <c r="A2" s="1" t="s">
        <v>0</v>
      </c>
      <c r="B2" s="1"/>
      <c r="C2" s="1"/>
      <c r="D2" s="2" t="s">
        <v>1</v>
      </c>
      <c r="E2" s="2"/>
      <c r="F2" s="3" t="s">
        <v>2</v>
      </c>
      <c r="G2" s="3"/>
      <c r="H2" s="3"/>
    </row>
    <row r="3" spans="1:8" x14ac:dyDescent="0.25">
      <c r="A3" s="4" t="s">
        <v>3</v>
      </c>
      <c r="B3" s="4"/>
      <c r="C3" s="4"/>
      <c r="F3" s="5" t="s">
        <v>4</v>
      </c>
      <c r="G3" s="5"/>
      <c r="H3" s="5"/>
    </row>
    <row r="4" spans="1:8" x14ac:dyDescent="0.25">
      <c r="A4" s="6" t="s">
        <v>5</v>
      </c>
      <c r="B4" s="6"/>
      <c r="C4" s="6"/>
      <c r="F4" s="7" t="s">
        <v>6</v>
      </c>
      <c r="G4" s="7"/>
      <c r="H4" s="7"/>
    </row>
    <row r="5" spans="1:8" x14ac:dyDescent="0.25">
      <c r="A5" s="8" t="s">
        <v>7</v>
      </c>
      <c r="B5" s="8"/>
      <c r="C5" s="8"/>
      <c r="F5" s="9" t="s">
        <v>8</v>
      </c>
      <c r="G5" s="9"/>
      <c r="H5" s="9"/>
    </row>
    <row r="7" spans="1:8" x14ac:dyDescent="0.25">
      <c r="A7" s="10" t="s">
        <v>9</v>
      </c>
      <c r="B7" s="10"/>
      <c r="C7" s="10"/>
      <c r="D7" s="10"/>
      <c r="E7" s="10" t="s">
        <v>10</v>
      </c>
      <c r="F7" s="10"/>
      <c r="G7" s="10"/>
      <c r="H7" s="10"/>
    </row>
    <row r="8" spans="1:8" x14ac:dyDescent="0.25">
      <c r="A8" s="11" t="s">
        <v>11</v>
      </c>
      <c r="B8" s="12" t="s">
        <v>12</v>
      </c>
      <c r="C8" s="12"/>
      <c r="D8" s="12"/>
      <c r="E8" s="11" t="s">
        <v>13</v>
      </c>
      <c r="F8" s="13" t="s">
        <v>12</v>
      </c>
      <c r="G8" s="13"/>
      <c r="H8" s="13"/>
    </row>
    <row r="9" spans="1:8" x14ac:dyDescent="0.25">
      <c r="A9" s="11" t="s">
        <v>14</v>
      </c>
      <c r="B9" s="12" t="s">
        <v>12</v>
      </c>
      <c r="C9" s="12"/>
      <c r="D9" s="12"/>
      <c r="E9" s="11" t="s">
        <v>15</v>
      </c>
      <c r="F9" s="13" t="s">
        <v>12</v>
      </c>
      <c r="G9" s="13"/>
      <c r="H9" s="13"/>
    </row>
    <row r="10" spans="1:8" x14ac:dyDescent="0.25">
      <c r="A10" s="11" t="s">
        <v>16</v>
      </c>
      <c r="B10" s="12" t="s">
        <v>12</v>
      </c>
      <c r="C10" s="12"/>
      <c r="D10" s="12"/>
      <c r="E10" s="11" t="s">
        <v>17</v>
      </c>
      <c r="F10" s="14" t="s">
        <v>18</v>
      </c>
      <c r="G10" s="14"/>
      <c r="H10" s="14"/>
    </row>
    <row r="11" spans="1:8" x14ac:dyDescent="0.25">
      <c r="A11" s="11" t="s">
        <v>19</v>
      </c>
      <c r="B11" s="12" t="s">
        <v>12</v>
      </c>
      <c r="C11" s="12"/>
      <c r="D11" s="12"/>
      <c r="E11" s="11" t="s">
        <v>20</v>
      </c>
      <c r="F11" s="14" t="s">
        <v>21</v>
      </c>
      <c r="G11" s="14"/>
      <c r="H11" s="14"/>
    </row>
    <row r="13" ht="26" customHeight="1" spans="1:8" x14ac:dyDescent="0.25">
      <c r="A13" s="15" t="s">
        <v>22</v>
      </c>
      <c r="B13" s="15" t="s">
        <v>23</v>
      </c>
      <c r="C13" s="15" t="s">
        <v>24</v>
      </c>
      <c r="D13" s="15" t="s">
        <v>25</v>
      </c>
      <c r="E13" s="15" t="s">
        <v>26</v>
      </c>
      <c r="F13" s="15" t="s">
        <v>27</v>
      </c>
      <c r="G13" s="15" t="s">
        <v>28</v>
      </c>
      <c r="H13" s="15" t="s">
        <v>29</v>
      </c>
    </row>
    <row r="14" ht="22" customHeight="1" spans="1:8" x14ac:dyDescent="0.25">
      <c r="A14" s="14">
        <v>1</v>
      </c>
      <c r="B14" s="16" t="s">
        <v>12</v>
      </c>
      <c r="C14" s="17" t="s">
        <v>12</v>
      </c>
      <c r="D14" s="18"/>
      <c r="E14" s="19"/>
      <c r="F14" s="20">
        <f>IF(OR(D14="",E14=""),"",ROUND(D14*E14,2))</f>
      </c>
      <c r="G14" s="20">
        <f>IF(F14="","",ROUND(F14*0.15,2))</f>
      </c>
      <c r="H14" s="20">
        <f>IF(F14="","",ROUND(F14+G14,2))</f>
      </c>
    </row>
    <row r="15" ht="22" customHeight="1" spans="1:8" x14ac:dyDescent="0.25">
      <c r="A15" s="14">
        <v>2</v>
      </c>
      <c r="B15" s="16" t="s">
        <v>12</v>
      </c>
      <c r="C15" s="17" t="s">
        <v>12</v>
      </c>
      <c r="D15" s="18"/>
      <c r="E15" s="19"/>
      <c r="F15" s="20">
        <f>IF(OR(D15="",E15=""),"",ROUND(D15*E15,2))</f>
      </c>
      <c r="G15" s="20">
        <f>IF(F15="","",ROUND(F15*0.15,2))</f>
      </c>
      <c r="H15" s="20">
        <f>IF(F15="","",ROUND(F15+G15,2))</f>
      </c>
    </row>
    <row r="16" ht="22" customHeight="1" spans="1:8" x14ac:dyDescent="0.25">
      <c r="A16" s="14">
        <v>3</v>
      </c>
      <c r="B16" s="16" t="s">
        <v>12</v>
      </c>
      <c r="C16" s="17" t="s">
        <v>12</v>
      </c>
      <c r="D16" s="18"/>
      <c r="E16" s="19"/>
      <c r="F16" s="20">
        <f>IF(OR(D16="",E16=""),"",ROUND(D16*E16,2))</f>
      </c>
      <c r="G16" s="20">
        <f>IF(F16="","",ROUND(F16*0.15,2))</f>
      </c>
      <c r="H16" s="20">
        <f>IF(F16="","",ROUND(F16+G16,2))</f>
      </c>
    </row>
    <row r="17" ht="22" customHeight="1" spans="1:8" x14ac:dyDescent="0.25">
      <c r="A17" s="14">
        <v>4</v>
      </c>
      <c r="B17" s="16" t="s">
        <v>12</v>
      </c>
      <c r="C17" s="17" t="s">
        <v>12</v>
      </c>
      <c r="D17" s="18"/>
      <c r="E17" s="19"/>
      <c r="F17" s="20">
        <f>IF(OR(D17="",E17=""),"",ROUND(D17*E17,2))</f>
      </c>
      <c r="G17" s="20">
        <f>IF(F17="","",ROUND(F17*0.15,2))</f>
      </c>
      <c r="H17" s="20">
        <f>IF(F17="","",ROUND(F17+G17,2))</f>
      </c>
    </row>
    <row r="18" ht="22" customHeight="1" spans="1:8" x14ac:dyDescent="0.25">
      <c r="A18" s="14">
        <v>5</v>
      </c>
      <c r="B18" s="16" t="s">
        <v>12</v>
      </c>
      <c r="C18" s="17" t="s">
        <v>12</v>
      </c>
      <c r="D18" s="18"/>
      <c r="E18" s="19"/>
      <c r="F18" s="20">
        <f>IF(OR(D18="",E18=""),"",ROUND(D18*E18,2))</f>
      </c>
      <c r="G18" s="20">
        <f>IF(F18="","",ROUND(F18*0.15,2))</f>
      </c>
      <c r="H18" s="20">
        <f>IF(F18="","",ROUND(F18+G18,2))</f>
      </c>
    </row>
    <row r="19" ht="22" customHeight="1" spans="1:8" x14ac:dyDescent="0.25">
      <c r="A19" s="14">
        <v>6</v>
      </c>
      <c r="B19" s="16" t="s">
        <v>12</v>
      </c>
      <c r="C19" s="17" t="s">
        <v>12</v>
      </c>
      <c r="D19" s="18"/>
      <c r="E19" s="19"/>
      <c r="F19" s="20">
        <f>IF(OR(D19="",E19=""),"",ROUND(D19*E19,2))</f>
      </c>
      <c r="G19" s="20">
        <f>IF(F19="","",ROUND(F19*0.15,2))</f>
      </c>
      <c r="H19" s="20">
        <f>IF(F19="","",ROUND(F19+G19,2))</f>
      </c>
    </row>
    <row r="20" ht="22" customHeight="1" spans="1:8" x14ac:dyDescent="0.25">
      <c r="A20" s="14">
        <v>7</v>
      </c>
      <c r="B20" s="16" t="s">
        <v>12</v>
      </c>
      <c r="C20" s="17" t="s">
        <v>12</v>
      </c>
      <c r="D20" s="18"/>
      <c r="E20" s="19"/>
      <c r="F20" s="20">
        <f>IF(OR(D20="",E20=""),"",ROUND(D20*E20,2))</f>
      </c>
      <c r="G20" s="20">
        <f>IF(F20="","",ROUND(F20*0.15,2))</f>
      </c>
      <c r="H20" s="20">
        <f>IF(F20="","",ROUND(F20+G20,2))</f>
      </c>
    </row>
    <row r="21" ht="22" customHeight="1" spans="1:8" x14ac:dyDescent="0.25">
      <c r="A21" s="14">
        <v>8</v>
      </c>
      <c r="B21" s="16" t="s">
        <v>12</v>
      </c>
      <c r="C21" s="17" t="s">
        <v>12</v>
      </c>
      <c r="D21" s="18"/>
      <c r="E21" s="19"/>
      <c r="F21" s="20">
        <f>IF(OR(D21="",E21=""),"",ROUND(D21*E21,2))</f>
      </c>
      <c r="G21" s="20">
        <f>IF(F21="","",ROUND(F21*0.15,2))</f>
      </c>
      <c r="H21" s="20">
        <f>IF(F21="","",ROUND(F21+G21,2))</f>
      </c>
    </row>
    <row r="22" ht="22" customHeight="1" spans="1:8" x14ac:dyDescent="0.25">
      <c r="A22" s="14">
        <v>9</v>
      </c>
      <c r="B22" s="16" t="s">
        <v>12</v>
      </c>
      <c r="C22" s="17" t="s">
        <v>12</v>
      </c>
      <c r="D22" s="18"/>
      <c r="E22" s="19"/>
      <c r="F22" s="20">
        <f>IF(OR(D22="",E22=""),"",ROUND(D22*E22,2))</f>
      </c>
      <c r="G22" s="20">
        <f>IF(F22="","",ROUND(F22*0.15,2))</f>
      </c>
      <c r="H22" s="20">
        <f>IF(F22="","",ROUND(F22+G22,2))</f>
      </c>
    </row>
    <row r="23" ht="22" customHeight="1" spans="1:8" x14ac:dyDescent="0.25">
      <c r="A23" s="14">
        <v>10</v>
      </c>
      <c r="B23" s="16" t="s">
        <v>12</v>
      </c>
      <c r="C23" s="17" t="s">
        <v>12</v>
      </c>
      <c r="D23" s="18"/>
      <c r="E23" s="19"/>
      <c r="F23" s="20">
        <f>IF(OR(D23="",E23=""),"",ROUND(D23*E23,2))</f>
      </c>
      <c r="G23" s="20">
        <f>IF(F23="","",ROUND(F23*0.15,2))</f>
      </c>
      <c r="H23" s="20">
        <f>IF(F23="","",ROUND(F23+G23,2))</f>
      </c>
    </row>
    <row r="24" ht="22" customHeight="1" spans="1:8" x14ac:dyDescent="0.25">
      <c r="A24" s="14">
        <v>11</v>
      </c>
      <c r="B24" s="16" t="s">
        <v>12</v>
      </c>
      <c r="C24" s="17" t="s">
        <v>12</v>
      </c>
      <c r="D24" s="18"/>
      <c r="E24" s="19"/>
      <c r="F24" s="20">
        <f>IF(OR(D24="",E24=""),"",ROUND(D24*E24,2))</f>
      </c>
      <c r="G24" s="20">
        <f>IF(F24="","",ROUND(F24*0.15,2))</f>
      </c>
      <c r="H24" s="20">
        <f>IF(F24="","",ROUND(F24+G24,2))</f>
      </c>
    </row>
    <row r="25" ht="22" customHeight="1" spans="1:8" x14ac:dyDescent="0.25">
      <c r="A25" s="14">
        <v>12</v>
      </c>
      <c r="B25" s="16" t="s">
        <v>12</v>
      </c>
      <c r="C25" s="17" t="s">
        <v>12</v>
      </c>
      <c r="D25" s="18"/>
      <c r="E25" s="19"/>
      <c r="F25" s="20">
        <f>IF(OR(D25="",E25=""),"",ROUND(D25*E25,2))</f>
      </c>
      <c r="G25" s="20">
        <f>IF(F25="","",ROUND(F25*0.15,2))</f>
      </c>
      <c r="H25" s="20">
        <f>IF(F25="","",ROUND(F25+G25,2))</f>
      </c>
    </row>
    <row r="26" ht="22" customHeight="1" spans="1:8" x14ac:dyDescent="0.25">
      <c r="A26" s="14">
        <v>13</v>
      </c>
      <c r="B26" s="16" t="s">
        <v>12</v>
      </c>
      <c r="C26" s="17" t="s">
        <v>12</v>
      </c>
      <c r="D26" s="18"/>
      <c r="E26" s="19"/>
      <c r="F26" s="20">
        <f>IF(OR(D26="",E26=""),"",ROUND(D26*E26,2))</f>
      </c>
      <c r="G26" s="20">
        <f>IF(F26="","",ROUND(F26*0.15,2))</f>
      </c>
      <c r="H26" s="20">
        <f>IF(F26="","",ROUND(F26+G26,2))</f>
      </c>
    </row>
    <row r="27" ht="22" customHeight="1" spans="1:8" x14ac:dyDescent="0.25">
      <c r="A27" s="14">
        <v>14</v>
      </c>
      <c r="B27" s="16" t="s">
        <v>12</v>
      </c>
      <c r="C27" s="17" t="s">
        <v>12</v>
      </c>
      <c r="D27" s="18"/>
      <c r="E27" s="19"/>
      <c r="F27" s="20">
        <f>IF(OR(D27="",E27=""),"",ROUND(D27*E27,2))</f>
      </c>
      <c r="G27" s="20">
        <f>IF(F27="","",ROUND(F27*0.15,2))</f>
      </c>
      <c r="H27" s="20">
        <f>IF(F27="","",ROUND(F27+G27,2))</f>
      </c>
    </row>
    <row r="28" ht="22" customHeight="1" spans="1:8" x14ac:dyDescent="0.25">
      <c r="A28" s="14">
        <v>15</v>
      </c>
      <c r="B28" s="16" t="s">
        <v>12</v>
      </c>
      <c r="C28" s="17" t="s">
        <v>12</v>
      </c>
      <c r="D28" s="18"/>
      <c r="E28" s="19"/>
      <c r="F28" s="20">
        <f>IF(OR(D28="",E28=""),"",ROUND(D28*E28,2))</f>
      </c>
      <c r="G28" s="20">
        <f>IF(F28="","",ROUND(F28*0.15,2))</f>
      </c>
      <c r="H28" s="20">
        <f>IF(F28="","",ROUND(F28+G28,2))</f>
      </c>
    </row>
    <row r="30" spans="1:8" x14ac:dyDescent="0.25">
      <c r="A30" s="21" t="s">
        <v>30</v>
      </c>
      <c r="B30" s="21"/>
      <c r="C30" s="21"/>
      <c r="D30" s="21"/>
      <c r="E30" s="22" t="s">
        <v>31</v>
      </c>
      <c r="F30" s="22"/>
      <c r="G30" s="22"/>
      <c r="H30" s="22"/>
    </row>
    <row r="31" spans="1:8" x14ac:dyDescent="0.25">
      <c r="A31" s="23" t="s">
        <v>32</v>
      </c>
      <c r="B31" s="23"/>
      <c r="C31" s="23"/>
      <c r="D31" s="23"/>
      <c r="E31" s="24" t="s">
        <v>33</v>
      </c>
      <c r="F31" s="24"/>
      <c r="G31" s="25">
        <f>SUM(F14:F28)</f>
      </c>
      <c r="H31" s="25"/>
    </row>
    <row r="32" spans="1:8" x14ac:dyDescent="0.25">
      <c r="A32" s="23"/>
      <c r="B32" s="23"/>
      <c r="C32" s="23"/>
      <c r="D32" s="23"/>
      <c r="E32" s="24" t="s">
        <v>34</v>
      </c>
      <c r="F32" s="24"/>
      <c r="G32" s="25">
        <v>0</v>
      </c>
      <c r="H32" s="25"/>
    </row>
    <row r="33" spans="1:8" x14ac:dyDescent="0.25">
      <c r="A33" s="23"/>
      <c r="B33" s="23"/>
      <c r="C33" s="23"/>
      <c r="D33" s="23"/>
      <c r="E33" s="24" t="s">
        <v>35</v>
      </c>
      <c r="F33" s="24"/>
      <c r="G33" s="25">
        <f>SUM(G14:G28)</f>
      </c>
      <c r="H33" s="25"/>
    </row>
    <row r="34" spans="5:8" x14ac:dyDescent="0.25">
      <c r="E34" s="26" t="s">
        <v>36</v>
      </c>
      <c r="F34" s="26"/>
      <c r="G34" s="27">
        <f>F31-F32+F33</f>
      </c>
      <c r="H34" s="27"/>
    </row>
    <row r="35" spans="2:2" x14ac:dyDescent="0.25">
      <c r="B35" s="28" t="s">
        <v>37</v>
      </c>
    </row>
  </sheetData>
  <mergeCells count="30">
    <mergeCell ref="A2:C2"/>
    <mergeCell ref="D2:E2"/>
    <mergeCell ref="F2:H2"/>
    <mergeCell ref="A3:C3"/>
    <mergeCell ref="F3:H3"/>
    <mergeCell ref="A4:C4"/>
    <mergeCell ref="F4:H4"/>
    <mergeCell ref="A5:C5"/>
    <mergeCell ref="F5:H5"/>
    <mergeCell ref="A7:D7"/>
    <mergeCell ref="E7:H7"/>
    <mergeCell ref="B8:D8"/>
    <mergeCell ref="F8:H8"/>
    <mergeCell ref="B9:D9"/>
    <mergeCell ref="F9:H9"/>
    <mergeCell ref="B10:D10"/>
    <mergeCell ref="F10:H10"/>
    <mergeCell ref="B11:D11"/>
    <mergeCell ref="F11:H11"/>
    <mergeCell ref="A30:D30"/>
    <mergeCell ref="E30:H30"/>
    <mergeCell ref="A31:D33"/>
    <mergeCell ref="E31:F31"/>
    <mergeCell ref="G31:H31"/>
    <mergeCell ref="E32:F32"/>
    <mergeCell ref="G32:H32"/>
    <mergeCell ref="E33:F33"/>
    <mergeCell ref="G33:H33"/>
    <mergeCell ref="E34:F34"/>
    <mergeCell ref="G34:H34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workbookViewId="0" rightToLeft="1"/>
  </sheetViews>
  <sheetFormatPr defaultRowHeight="15" outlineLevelRow="0" outlineLevelCol="0" x14ac:dyDescent="55"/>
  <cols>
    <col min="1" max="1" width="7" customWidth="1"/>
    <col min="2" max="2" width="16" customWidth="1"/>
    <col min="3" max="3" width="34" customWidth="1"/>
    <col min="4" max="4" width="14" customWidth="1"/>
    <col min="5" max="5" width="10" customWidth="1"/>
    <col min="6" max="6" width="16" customWidth="1"/>
    <col min="7" max="7" width="14" customWidth="1"/>
    <col min="8" max="8" width="18" customWidth="1"/>
  </cols>
  <sheetData>
    <row r="2" spans="1:8" x14ac:dyDescent="0.25">
      <c r="A2" s="1" t="s">
        <v>0</v>
      </c>
      <c r="B2" s="1"/>
      <c r="C2" s="1"/>
      <c r="D2" s="2" t="s">
        <v>1</v>
      </c>
      <c r="E2" s="2"/>
      <c r="F2" s="3" t="s">
        <v>2</v>
      </c>
      <c r="G2" s="3"/>
      <c r="H2" s="3"/>
    </row>
    <row r="3" spans="1:8" x14ac:dyDescent="0.25">
      <c r="A3" s="4" t="s">
        <v>3</v>
      </c>
      <c r="B3" s="4"/>
      <c r="C3" s="4"/>
      <c r="F3" s="5" t="s">
        <v>4</v>
      </c>
      <c r="G3" s="5"/>
      <c r="H3" s="5"/>
    </row>
    <row r="4" spans="1:8" x14ac:dyDescent="0.25">
      <c r="A4" s="6" t="s">
        <v>5</v>
      </c>
      <c r="B4" s="6"/>
      <c r="C4" s="6"/>
      <c r="F4" s="7" t="s">
        <v>6</v>
      </c>
      <c r="G4" s="7"/>
      <c r="H4" s="7"/>
    </row>
    <row r="5" spans="1:8" x14ac:dyDescent="0.25">
      <c r="A5" s="8" t="s">
        <v>7</v>
      </c>
      <c r="B5" s="8"/>
      <c r="C5" s="8"/>
      <c r="F5" s="9" t="s">
        <v>8</v>
      </c>
      <c r="G5" s="9"/>
      <c r="H5" s="9"/>
    </row>
    <row r="7" spans="1:8" x14ac:dyDescent="0.25">
      <c r="A7" s="10" t="s">
        <v>9</v>
      </c>
      <c r="B7" s="10"/>
      <c r="C7" s="10"/>
      <c r="D7" s="10"/>
      <c r="E7" s="10" t="s">
        <v>10</v>
      </c>
      <c r="F7" s="10"/>
      <c r="G7" s="10"/>
      <c r="H7" s="10"/>
    </row>
    <row r="8" spans="1:8" x14ac:dyDescent="0.25">
      <c r="A8" s="11" t="s">
        <v>11</v>
      </c>
      <c r="B8" s="29" t="s">
        <v>38</v>
      </c>
      <c r="C8" s="29"/>
      <c r="D8" s="29"/>
      <c r="E8" s="11" t="s">
        <v>13</v>
      </c>
      <c r="F8" s="14" t="s">
        <v>39</v>
      </c>
      <c r="G8" s="14"/>
      <c r="H8" s="14"/>
    </row>
    <row r="9" spans="1:8" x14ac:dyDescent="0.25">
      <c r="A9" s="11" t="s">
        <v>14</v>
      </c>
      <c r="B9" s="29" t="s">
        <v>40</v>
      </c>
      <c r="C9" s="29"/>
      <c r="D9" s="29"/>
      <c r="E9" s="11" t="s">
        <v>15</v>
      </c>
      <c r="F9" s="14" t="s">
        <v>41</v>
      </c>
      <c r="G9" s="14"/>
      <c r="H9" s="14"/>
    </row>
    <row r="10" spans="1:8" x14ac:dyDescent="0.25">
      <c r="A10" s="11" t="s">
        <v>16</v>
      </c>
      <c r="B10" s="29" t="s">
        <v>42</v>
      </c>
      <c r="C10" s="29"/>
      <c r="D10" s="29"/>
      <c r="E10" s="11" t="s">
        <v>17</v>
      </c>
      <c r="F10" s="14" t="s">
        <v>18</v>
      </c>
      <c r="G10" s="14"/>
      <c r="H10" s="14"/>
    </row>
    <row r="11" spans="1:8" x14ac:dyDescent="0.25">
      <c r="A11" s="11" t="s">
        <v>19</v>
      </c>
      <c r="B11" s="29" t="s">
        <v>43</v>
      </c>
      <c r="C11" s="29"/>
      <c r="D11" s="29"/>
      <c r="E11" s="11" t="s">
        <v>20</v>
      </c>
      <c r="F11" s="14" t="s">
        <v>21</v>
      </c>
      <c r="G11" s="14"/>
      <c r="H11" s="14"/>
    </row>
    <row r="13" ht="26" customHeight="1" spans="1:8" x14ac:dyDescent="0.25">
      <c r="A13" s="15" t="s">
        <v>22</v>
      </c>
      <c r="B13" s="15" t="s">
        <v>23</v>
      </c>
      <c r="C13" s="15" t="s">
        <v>24</v>
      </c>
      <c r="D13" s="15" t="s">
        <v>25</v>
      </c>
      <c r="E13" s="15" t="s">
        <v>26</v>
      </c>
      <c r="F13" s="15" t="s">
        <v>27</v>
      </c>
      <c r="G13" s="15" t="s">
        <v>28</v>
      </c>
      <c r="H13" s="15" t="s">
        <v>29</v>
      </c>
    </row>
    <row r="14" ht="22" customHeight="1" spans="1:8" x14ac:dyDescent="0.25">
      <c r="A14" s="14">
        <v>1</v>
      </c>
      <c r="B14" s="14" t="s">
        <v>44</v>
      </c>
      <c r="C14" s="29" t="s">
        <v>45</v>
      </c>
      <c r="D14" s="20">
        <v>4434.78</v>
      </c>
      <c r="E14" s="30">
        <v>1</v>
      </c>
      <c r="F14" s="20">
        <f>IF(OR(D14="",E14=""),"",ROUND(D14*E14,2))</f>
      </c>
      <c r="G14" s="20">
        <f>IF(F14="","",ROUND(F14*0.15,2))</f>
      </c>
      <c r="H14" s="20">
        <f>IF(F14="","",ROUND(F14+G14,2))</f>
      </c>
    </row>
    <row r="15" ht="22" customHeight="1" spans="1:8" x14ac:dyDescent="0.25">
      <c r="A15" s="14">
        <v>2</v>
      </c>
      <c r="B15" s="14" t="s">
        <v>12</v>
      </c>
      <c r="C15" s="29" t="s">
        <v>12</v>
      </c>
      <c r="D15" s="20"/>
      <c r="E15" s="30"/>
      <c r="F15" s="20">
        <f>IF(OR(D15="",E15=""),"",ROUND(D15*E15,2))</f>
      </c>
      <c r="G15" s="20">
        <f>IF(F15="","",ROUND(F15*0.15,2))</f>
      </c>
      <c r="H15" s="20">
        <f>IF(F15="","",ROUND(F15+G15,2))</f>
      </c>
    </row>
    <row r="16" ht="22" customHeight="1" spans="1:8" x14ac:dyDescent="0.25">
      <c r="A16" s="14">
        <v>3</v>
      </c>
      <c r="B16" s="14" t="s">
        <v>12</v>
      </c>
      <c r="C16" s="29" t="s">
        <v>12</v>
      </c>
      <c r="D16" s="20"/>
      <c r="E16" s="30"/>
      <c r="F16" s="20">
        <f>IF(OR(D16="",E16=""),"",ROUND(D16*E16,2))</f>
      </c>
      <c r="G16" s="20">
        <f>IF(F16="","",ROUND(F16*0.15,2))</f>
      </c>
      <c r="H16" s="20">
        <f>IF(F16="","",ROUND(F16+G16,2))</f>
      </c>
    </row>
    <row r="17" ht="22" customHeight="1" spans="1:8" x14ac:dyDescent="0.25">
      <c r="A17" s="14">
        <v>4</v>
      </c>
      <c r="B17" s="14" t="s">
        <v>12</v>
      </c>
      <c r="C17" s="29" t="s">
        <v>12</v>
      </c>
      <c r="D17" s="20"/>
      <c r="E17" s="30"/>
      <c r="F17" s="20">
        <f>IF(OR(D17="",E17=""),"",ROUND(D17*E17,2))</f>
      </c>
      <c r="G17" s="20">
        <f>IF(F17="","",ROUND(F17*0.15,2))</f>
      </c>
      <c r="H17" s="20">
        <f>IF(F17="","",ROUND(F17+G17,2))</f>
      </c>
    </row>
    <row r="18" ht="22" customHeight="1" spans="1:8" x14ac:dyDescent="0.25">
      <c r="A18" s="14">
        <v>5</v>
      </c>
      <c r="B18" s="14" t="s">
        <v>12</v>
      </c>
      <c r="C18" s="29" t="s">
        <v>12</v>
      </c>
      <c r="D18" s="20"/>
      <c r="E18" s="30"/>
      <c r="F18" s="20">
        <f>IF(OR(D18="",E18=""),"",ROUND(D18*E18,2))</f>
      </c>
      <c r="G18" s="20">
        <f>IF(F18="","",ROUND(F18*0.15,2))</f>
      </c>
      <c r="H18" s="20">
        <f>IF(F18="","",ROUND(F18+G18,2))</f>
      </c>
    </row>
    <row r="19" ht="22" customHeight="1" spans="1:8" x14ac:dyDescent="0.25">
      <c r="A19" s="14">
        <v>6</v>
      </c>
      <c r="B19" s="14" t="s">
        <v>12</v>
      </c>
      <c r="C19" s="29" t="s">
        <v>12</v>
      </c>
      <c r="D19" s="20"/>
      <c r="E19" s="30"/>
      <c r="F19" s="20">
        <f>IF(OR(D19="",E19=""),"",ROUND(D19*E19,2))</f>
      </c>
      <c r="G19" s="20">
        <f>IF(F19="","",ROUND(F19*0.15,2))</f>
      </c>
      <c r="H19" s="20">
        <f>IF(F19="","",ROUND(F19+G19,2))</f>
      </c>
    </row>
    <row r="20" ht="22" customHeight="1" spans="1:8" x14ac:dyDescent="0.25">
      <c r="A20" s="14">
        <v>7</v>
      </c>
      <c r="B20" s="14" t="s">
        <v>12</v>
      </c>
      <c r="C20" s="29" t="s">
        <v>12</v>
      </c>
      <c r="D20" s="20"/>
      <c r="E20" s="30"/>
      <c r="F20" s="20">
        <f>IF(OR(D20="",E20=""),"",ROUND(D20*E20,2))</f>
      </c>
      <c r="G20" s="20">
        <f>IF(F20="","",ROUND(F20*0.15,2))</f>
      </c>
      <c r="H20" s="20">
        <f>IF(F20="","",ROUND(F20+G20,2))</f>
      </c>
    </row>
    <row r="21" ht="22" customHeight="1" spans="1:8" x14ac:dyDescent="0.25">
      <c r="A21" s="14">
        <v>8</v>
      </c>
      <c r="B21" s="14" t="s">
        <v>12</v>
      </c>
      <c r="C21" s="29" t="s">
        <v>12</v>
      </c>
      <c r="D21" s="20"/>
      <c r="E21" s="30"/>
      <c r="F21" s="20">
        <f>IF(OR(D21="",E21=""),"",ROUND(D21*E21,2))</f>
      </c>
      <c r="G21" s="20">
        <f>IF(F21="","",ROUND(F21*0.15,2))</f>
      </c>
      <c r="H21" s="20">
        <f>IF(F21="","",ROUND(F21+G21,2))</f>
      </c>
    </row>
    <row r="22" ht="22" customHeight="1" spans="1:8" x14ac:dyDescent="0.25">
      <c r="A22" s="14">
        <v>9</v>
      </c>
      <c r="B22" s="14" t="s">
        <v>12</v>
      </c>
      <c r="C22" s="29" t="s">
        <v>12</v>
      </c>
      <c r="D22" s="20"/>
      <c r="E22" s="30"/>
      <c r="F22" s="20">
        <f>IF(OR(D22="",E22=""),"",ROUND(D22*E22,2))</f>
      </c>
      <c r="G22" s="20">
        <f>IF(F22="","",ROUND(F22*0.15,2))</f>
      </c>
      <c r="H22" s="20">
        <f>IF(F22="","",ROUND(F22+G22,2))</f>
      </c>
    </row>
    <row r="23" ht="22" customHeight="1" spans="1:8" x14ac:dyDescent="0.25">
      <c r="A23" s="14">
        <v>10</v>
      </c>
      <c r="B23" s="14" t="s">
        <v>12</v>
      </c>
      <c r="C23" s="29" t="s">
        <v>12</v>
      </c>
      <c r="D23" s="20"/>
      <c r="E23" s="30"/>
      <c r="F23" s="20">
        <f>IF(OR(D23="",E23=""),"",ROUND(D23*E23,2))</f>
      </c>
      <c r="G23" s="20">
        <f>IF(F23="","",ROUND(F23*0.15,2))</f>
      </c>
      <c r="H23" s="20">
        <f>IF(F23="","",ROUND(F23+G23,2))</f>
      </c>
    </row>
    <row r="24" ht="22" customHeight="1" spans="1:8" x14ac:dyDescent="0.25">
      <c r="A24" s="14">
        <v>11</v>
      </c>
      <c r="B24" s="14" t="s">
        <v>12</v>
      </c>
      <c r="C24" s="29" t="s">
        <v>12</v>
      </c>
      <c r="D24" s="20"/>
      <c r="E24" s="30"/>
      <c r="F24" s="20">
        <f>IF(OR(D24="",E24=""),"",ROUND(D24*E24,2))</f>
      </c>
      <c r="G24" s="20">
        <f>IF(F24="","",ROUND(F24*0.15,2))</f>
      </c>
      <c r="H24" s="20">
        <f>IF(F24="","",ROUND(F24+G24,2))</f>
      </c>
    </row>
    <row r="25" ht="22" customHeight="1" spans="1:8" x14ac:dyDescent="0.25">
      <c r="A25" s="14">
        <v>12</v>
      </c>
      <c r="B25" s="14" t="s">
        <v>12</v>
      </c>
      <c r="C25" s="29" t="s">
        <v>12</v>
      </c>
      <c r="D25" s="20"/>
      <c r="E25" s="30"/>
      <c r="F25" s="20">
        <f>IF(OR(D25="",E25=""),"",ROUND(D25*E25,2))</f>
      </c>
      <c r="G25" s="20">
        <f>IF(F25="","",ROUND(F25*0.15,2))</f>
      </c>
      <c r="H25" s="20">
        <f>IF(F25="","",ROUND(F25+G25,2))</f>
      </c>
    </row>
    <row r="26" ht="22" customHeight="1" spans="1:8" x14ac:dyDescent="0.25">
      <c r="A26" s="14">
        <v>13</v>
      </c>
      <c r="B26" s="14" t="s">
        <v>12</v>
      </c>
      <c r="C26" s="29" t="s">
        <v>12</v>
      </c>
      <c r="D26" s="20"/>
      <c r="E26" s="30"/>
      <c r="F26" s="20">
        <f>IF(OR(D26="",E26=""),"",ROUND(D26*E26,2))</f>
      </c>
      <c r="G26" s="20">
        <f>IF(F26="","",ROUND(F26*0.15,2))</f>
      </c>
      <c r="H26" s="20">
        <f>IF(F26="","",ROUND(F26+G26,2))</f>
      </c>
    </row>
    <row r="27" ht="22" customHeight="1" spans="1:8" x14ac:dyDescent="0.25">
      <c r="A27" s="14">
        <v>14</v>
      </c>
      <c r="B27" s="14" t="s">
        <v>12</v>
      </c>
      <c r="C27" s="29" t="s">
        <v>12</v>
      </c>
      <c r="D27" s="20"/>
      <c r="E27" s="30"/>
      <c r="F27" s="20">
        <f>IF(OR(D27="",E27=""),"",ROUND(D27*E27,2))</f>
      </c>
      <c r="G27" s="20">
        <f>IF(F27="","",ROUND(F27*0.15,2))</f>
      </c>
      <c r="H27" s="20">
        <f>IF(F27="","",ROUND(F27+G27,2))</f>
      </c>
    </row>
    <row r="28" ht="22" customHeight="1" spans="1:8" x14ac:dyDescent="0.25">
      <c r="A28" s="14">
        <v>15</v>
      </c>
      <c r="B28" s="14" t="s">
        <v>12</v>
      </c>
      <c r="C28" s="29" t="s">
        <v>12</v>
      </c>
      <c r="D28" s="20"/>
      <c r="E28" s="30"/>
      <c r="F28" s="20">
        <f>IF(OR(D28="",E28=""),"",ROUND(D28*E28,2))</f>
      </c>
      <c r="G28" s="20">
        <f>IF(F28="","",ROUND(F28*0.15,2))</f>
      </c>
      <c r="H28" s="20">
        <f>IF(F28="","",ROUND(F28+G28,2))</f>
      </c>
    </row>
    <row r="30" spans="1:8" x14ac:dyDescent="0.25">
      <c r="A30" s="21" t="s">
        <v>30</v>
      </c>
      <c r="B30" s="21"/>
      <c r="C30" s="21"/>
      <c r="D30" s="21"/>
      <c r="E30" s="22" t="s">
        <v>31</v>
      </c>
      <c r="F30" s="22"/>
      <c r="G30" s="22"/>
      <c r="H30" s="22"/>
    </row>
    <row r="31" spans="1:8" x14ac:dyDescent="0.25">
      <c r="A31" s="23" t="s">
        <v>46</v>
      </c>
      <c r="B31" s="23"/>
      <c r="C31" s="23"/>
      <c r="D31" s="23"/>
      <c r="E31" s="24" t="s">
        <v>33</v>
      </c>
      <c r="F31" s="24"/>
      <c r="G31" s="25">
        <f>SUM(F14:F28)</f>
      </c>
      <c r="H31" s="25"/>
    </row>
    <row r="32" spans="1:8" x14ac:dyDescent="0.25">
      <c r="A32" s="23"/>
      <c r="B32" s="23"/>
      <c r="C32" s="23"/>
      <c r="D32" s="23"/>
      <c r="E32" s="24" t="s">
        <v>34</v>
      </c>
      <c r="F32" s="24"/>
      <c r="G32" s="25">
        <v>0</v>
      </c>
      <c r="H32" s="25"/>
    </row>
    <row r="33" spans="1:8" x14ac:dyDescent="0.25">
      <c r="A33" s="23"/>
      <c r="B33" s="23"/>
      <c r="C33" s="23"/>
      <c r="D33" s="23"/>
      <c r="E33" s="24" t="s">
        <v>35</v>
      </c>
      <c r="F33" s="24"/>
      <c r="G33" s="25">
        <f>SUM(G14:G28)</f>
      </c>
      <c r="H33" s="25"/>
    </row>
    <row r="34" spans="5:8" x14ac:dyDescent="0.25">
      <c r="E34" s="26" t="s">
        <v>36</v>
      </c>
      <c r="F34" s="26"/>
      <c r="G34" s="27">
        <f>F31-F32+F33</f>
      </c>
      <c r="H34" s="27"/>
    </row>
    <row r="35" spans="2:2" x14ac:dyDescent="0.25">
      <c r="B35" s="28" t="s">
        <v>37</v>
      </c>
    </row>
  </sheetData>
  <mergeCells count="30">
    <mergeCell ref="A2:C2"/>
    <mergeCell ref="D2:E2"/>
    <mergeCell ref="F2:H2"/>
    <mergeCell ref="A3:C3"/>
    <mergeCell ref="F3:H3"/>
    <mergeCell ref="A4:C4"/>
    <mergeCell ref="F4:H4"/>
    <mergeCell ref="A5:C5"/>
    <mergeCell ref="F5:H5"/>
    <mergeCell ref="A7:D7"/>
    <mergeCell ref="E7:H7"/>
    <mergeCell ref="B8:D8"/>
    <mergeCell ref="F8:H8"/>
    <mergeCell ref="B9:D9"/>
    <mergeCell ref="F9:H9"/>
    <mergeCell ref="B10:D10"/>
    <mergeCell ref="F10:H10"/>
    <mergeCell ref="B11:D11"/>
    <mergeCell ref="F11:H11"/>
    <mergeCell ref="A30:D30"/>
    <mergeCell ref="E30:H30"/>
    <mergeCell ref="A31:D33"/>
    <mergeCell ref="E31:F31"/>
    <mergeCell ref="G31:H31"/>
    <mergeCell ref="E32:F32"/>
    <mergeCell ref="G32:H32"/>
    <mergeCell ref="E33:F33"/>
    <mergeCell ref="G33:H33"/>
    <mergeCell ref="E34:F34"/>
    <mergeCell ref="G34:H34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الفاتورة (فارغ للإدخال)</vt:lpstr>
      <vt:lpstr>الفاتورة الأصلية (عينة مطابقة)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الفوترة الإلكترونية</dc:creator>
  <dc:title/>
  <dc:subject/>
  <dc:description/>
  <cp:keywords/>
  <cp:category/>
  <cp:lastModifiedBy>Unknown</cp:lastModifiedBy>
  <dcterms:created xsi:type="dcterms:W3CDTF">2026-09-17T04:10:50Z</dcterms:created>
  <dcterms:modified xsi:type="dcterms:W3CDTF">2026-09-17T04:10:50Z</dcterms:modified>
</cp:coreProperties>
</file>