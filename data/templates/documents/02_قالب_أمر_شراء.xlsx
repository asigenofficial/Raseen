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1b154ad87441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مستند" sheetId="1" r:id="R66471bacb70446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6">
    <x:font>
      <x:sz val="11"/>
      <x:name val="Carlito"/>
    </x:font>
    <x:font>
      <x:sz val="10"/>
      <x:color rgb="FF1F2937"/>
      <x:name val="Arial"/>
    </x:font>
    <x:font>
      <x:b/>
      <x:sz val="16"/>
      <x:color rgb="FFFFFFFF"/>
      <x:name val="Arial"/>
    </x:font>
    <x:font>
      <x:b/>
      <x:sz val="10"/>
      <x:color rgb="FF1F2937"/>
      <x:name val="Arial"/>
    </x:font>
    <x:font>
      <x:b/>
      <x:sz val="9"/>
      <x:color rgb="FFFFFFFF"/>
      <x:name val="Arial"/>
    </x:font>
    <x:font>
      <x:i/>
      <x:sz val="10"/>
      <x:color rgb="FF64748B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FF2CC"/>
      </x:patternFill>
    </x:fill>
    <x:fill>
      <x:patternFill patternType="solid">
        <x:fgColor rgb="FFEEF2F6"/>
      </x:patternFill>
    </x:fill>
    <x:fill>
      <x:patternFill patternType="solid">
        <x:fgColor rgb="FFF8FAFC"/>
      </x:patternFill>
    </x:fill>
  </x:fills>
  <x:borders count="15">
    <x:border/>
    <x:border>
      <x:left style="thin">
        <x:color rgb="FFD6B656"/>
      </x:left>
      <x:top style="thin">
        <x:color rgb="FFD6B656"/>
      </x:top>
      <x:bottom style="thin">
        <x:color rgb="FFD6B656"/>
      </x:bottom>
    </x:border>
    <x:border>
      <x:top style="thin">
        <x:color rgb="FFD6B656"/>
      </x:top>
      <x:bottom style="thin">
        <x:color rgb="FFD6B656"/>
      </x:bottom>
    </x:border>
    <x:border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</x:border>
  </x:borders>
  <x:cellStyleXfs count="1">
    <x:xf numFmtId="0" fontId="0" fillId="0" borderId="0"/>
  </x:cellStyleXfs>
  <x:cellXfs count="8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200" fontId="1" fillId="3" borderId="1" xfId="0" applyNumberFormat="1" applyFont="1" applyFill="1" applyBorder="1"/>
    <x:xf numFmtId="200" fontId="1" fillId="3" borderId="3" xfId="0" applyNumberFormat="1" applyFont="1" applyFill="1" applyBorder="1"/>
    <x:xf numFmtId="0" fontId="4" fillId="2" borderId="0" xfId="0" applyNumberFormat="1" applyFont="1" applyFill="1" applyBorder="1"/>
    <x:xf numFmtId="0" fontId="4" fillId="2" borderId="4" xfId="0" applyNumberFormat="1" applyFont="1" applyFill="1" applyBorder="1"/>
    <x:xf numFmtId="0" fontId="4" fillId="2" borderId="4" xfId="0" applyNumberFormat="1" applyFont="1" applyFill="1" applyBorder="1" applyAlignment="1">
      <x:alignment wrapText="1"/>
    </x:xf>
    <x:xf numFmtId="0" fontId="4" fillId="2" borderId="4" xfId="0" applyNumberFormat="1" applyFont="1" applyFill="1" applyBorder="1" applyAlignment="1">
      <x:alignment horizont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/>
    <x:xf numFmtId="0" fontId="1" fillId="0" borderId="5" xfId="0" applyNumberFormat="1" applyFont="1" applyFill="1" applyBorder="1"/>
    <x:xf numFmtId="0" fontId="1" fillId="3" borderId="6" xfId="0" applyNumberFormat="1" applyFont="1" applyFill="1" applyBorder="1"/>
    <x:xf numFmtId="0" fontId="1" fillId="4" borderId="6" xfId="0" applyNumberFormat="1" applyFont="1" applyFill="1" applyBorder="1"/>
    <x:xf numFmtId="0" fontId="1" fillId="4" borderId="7" xfId="0" applyNumberFormat="1" applyFont="1" applyFill="1" applyBorder="1"/>
    <x:xf numFmtId="0" fontId="1" fillId="0" borderId="8" xfId="0" applyNumberFormat="1" applyFont="1" applyFill="1" applyBorder="1"/>
    <x:xf numFmtId="0" fontId="1" fillId="3" borderId="9" xfId="0" applyNumberFormat="1" applyFont="1" applyFill="1" applyBorder="1"/>
    <x:xf numFmtId="0" fontId="1" fillId="4" borderId="9" xfId="0" applyNumberFormat="1" applyFont="1" applyFill="1" applyBorder="1"/>
    <x:xf numFmtId="0" fontId="1" fillId="4" borderId="10" xfId="0" applyNumberFormat="1" applyFont="1" applyFill="1" applyBorder="1"/>
    <x:xf numFmtId="0" fontId="1" fillId="0" borderId="11" xfId="0" applyNumberFormat="1" applyFont="1" applyFill="1" applyBorder="1"/>
    <x:xf numFmtId="0" fontId="1" fillId="3" borderId="12" xfId="0" applyNumberFormat="1" applyFont="1" applyFill="1" applyBorder="1"/>
    <x:xf numFmtId="0" fontId="1" fillId="4" borderId="12" xfId="0" applyNumberFormat="1" applyFont="1" applyFill="1" applyBorder="1"/>
    <x:xf numFmtId="0" fontId="1" fillId="4" borderId="13" xfId="0" applyNumberFormat="1" applyFont="1" applyFill="1" applyBorder="1"/>
    <x:xf numFmtId="201" fontId="1" fillId="3" borderId="6" xfId="0" applyNumberFormat="1" applyFont="1" applyFill="1" applyBorder="1"/>
    <x:xf numFmtId="201" fontId="1" fillId="4" borderId="6" xfId="0" applyNumberFormat="1" applyFont="1" applyFill="1" applyBorder="1"/>
    <x:xf numFmtId="201" fontId="1" fillId="4" borderId="7" xfId="0" applyNumberFormat="1" applyFont="1" applyFill="1" applyBorder="1"/>
    <x:xf numFmtId="201" fontId="1" fillId="3" borderId="9" xfId="0" applyNumberFormat="1" applyFont="1" applyFill="1" applyBorder="1"/>
    <x:xf numFmtId="201" fontId="1" fillId="4" borderId="9" xfId="0" applyNumberFormat="1" applyFont="1" applyFill="1" applyBorder="1"/>
    <x:xf numFmtId="201" fontId="1" fillId="4" borderId="10" xfId="0" applyNumberFormat="1" applyFont="1" applyFill="1" applyBorder="1"/>
    <x:xf numFmtId="201" fontId="1" fillId="3" borderId="12" xfId="0" applyNumberFormat="1" applyFont="1" applyFill="1" applyBorder="1"/>
    <x:xf numFmtId="201" fontId="1" fillId="4" borderId="12" xfId="0" applyNumberFormat="1" applyFont="1" applyFill="1" applyBorder="1"/>
    <x:xf numFmtId="201" fontId="1" fillId="4" borderId="13" xfId="0" applyNumberFormat="1" applyFont="1" applyFill="1" applyBorder="1"/>
    <x:xf numFmtId="201" fontId="1" fillId="0" borderId="0" xfId="0" applyNumberFormat="1" applyFont="1" applyFill="1" applyBorder="1"/>
    <x:xf numFmtId="201" fontId="3" fillId="0" borderId="0" xfId="0" applyNumberFormat="1" applyFont="1" applyFill="1" applyBorder="1"/>
    <x:xf numFmtId="201" fontId="1" fillId="3" borderId="0" xfId="0" applyNumberFormat="1" applyFont="1" applyFill="1" applyBorder="1"/>
    <x:xf numFmtId="201" fontId="1" fillId="3" borderId="14" xfId="0" applyNumberFormat="1" applyFont="1" applyFill="1" applyBorder="1"/>
    <x:xf numFmtId="201" fontId="1" fillId="4" borderId="0" xfId="0" applyNumberFormat="1" applyFont="1" applyFill="1" applyBorder="1"/>
    <x:xf numFmtId="201" fontId="1" fillId="3" borderId="2" xfId="0" applyNumberFormat="1" applyFont="1" applyFill="1" applyBorder="1"/>
    <x:xf numFmtId="201" fontId="1" fillId="3" borderId="3" xfId="0" applyNumberFormat="1" applyFont="1" applyFill="1" applyBorder="1"/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200" fontId="1" fillId="3" borderId="1" xfId="0" applyNumberFormat="1" applyFont="1" applyFill="1" applyBorder="1" applyAlignment="1">
      <x:alignment vertical="center"/>
    </x:xf>
    <x:xf numFmtId="200" fontId="1" fillId="3" borderId="3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/>
    </x:xf>
    <x:xf numFmtId="201" fontId="1" fillId="3" borderId="6" xfId="0" applyNumberFormat="1" applyFont="1" applyFill="1" applyBorder="1" applyAlignment="1">
      <x:alignment vertical="center"/>
    </x:xf>
    <x:xf numFmtId="201" fontId="1" fillId="4" borderId="6" xfId="0" applyNumberFormat="1" applyFont="1" applyFill="1" applyBorder="1" applyAlignment="1">
      <x:alignment vertical="center"/>
    </x:xf>
    <x:xf numFmtId="201" fontId="1" fillId="4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3" borderId="9" xfId="0" applyNumberFormat="1" applyFont="1" applyFill="1" applyBorder="1" applyAlignment="1">
      <x:alignment vertical="center"/>
    </x:xf>
    <x:xf numFmtId="201" fontId="1" fillId="3" borderId="9" xfId="0" applyNumberFormat="1" applyFont="1" applyFill="1" applyBorder="1" applyAlignment="1">
      <x:alignment vertical="center"/>
    </x:xf>
    <x:xf numFmtId="201" fontId="1" fillId="4" borderId="9" xfId="0" applyNumberFormat="1" applyFont="1" applyFill="1" applyBorder="1" applyAlignment="1">
      <x:alignment vertical="center"/>
    </x:xf>
    <x:xf numFmtId="201" fontId="1" fillId="4" borderId="10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0" fontId="1" fillId="3" borderId="12" xfId="0" applyNumberFormat="1" applyFont="1" applyFill="1" applyBorder="1" applyAlignment="1">
      <x:alignment vertical="center"/>
    </x:xf>
    <x:xf numFmtId="201" fontId="1" fillId="3" borderId="12" xfId="0" applyNumberFormat="1" applyFont="1" applyFill="1" applyBorder="1" applyAlignment="1">
      <x:alignment vertical="center"/>
    </x:xf>
    <x:xf numFmtId="201" fontId="1" fillId="4" borderId="12" xfId="0" applyNumberFormat="1" applyFont="1" applyFill="1" applyBorder="1" applyAlignment="1">
      <x:alignment vertical="center"/>
    </x:xf>
    <x:xf numFmtId="201" fontId="1" fillId="4" borderId="13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3" borderId="3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1" fontId="1" fillId="3" borderId="14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6c2a191c3445f9" /><Relationship Type="http://schemas.openxmlformats.org/officeDocument/2006/relationships/theme" Target="/xl/theme/theme1.xml" Id="R80fcb64fd68244f2" /><Relationship Type="http://schemas.openxmlformats.org/officeDocument/2006/relationships/sharedStrings" Target="/xl/sharedStrings.xml" Id="Rd20100a09b534a4e" /><Relationship Type="http://schemas.openxmlformats.org/officeDocument/2006/relationships/worksheet" Target="/xl/worksheets/sheet1.xml" Id="R66471bacb70446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16" hidden="0" customWidth="1"/>
    <x:col min="3" max="3" width="25" hidden="0" customWidth="1"/>
    <x:col min="4" max="4" width="12" hidden="0" customWidth="1"/>
    <x:col min="5" max="5" width="12" hidden="0" customWidth="1"/>
    <x:col min="6" max="6" width="14" hidden="0" customWidth="1"/>
    <x:col min="7" max="7" width="14" hidden="0" customWidth="1"/>
    <x:col min="8" max="8" width="14" hidden="0" customWidth="1"/>
    <x:col min="9" max="9" width="16" hidden="0" customWidth="1"/>
    <x:col min="10" max="10" width="18" hidden="0" customWidth="1"/>
  </x:cols>
  <x:sheetData>
    <x:row r="1">
      <x:c r="A1" s="6" t="str">
        <x:v>أمر شراء
PURCHASE ORDER</x:v>
      </x:c>
      <x:c r="B1" s="6" t="str">
        <x:v>أمر شراء
PURCHASE ORDER</x:v>
      </x:c>
      <x:c r="C1" s="6" t="str">
        <x:v>أمر شراء
PURCHASE ORDER</x:v>
      </x:c>
      <x:c r="D1" s="6" t="str">
        <x:v>أمر شراء
PURCHASE ORDER</x:v>
      </x:c>
      <x:c r="E1" s="6" t="str">
        <x:v>أمر شراء
PURCHASE ORDER</x:v>
      </x:c>
      <x:c r="F1" s="6" t="str">
        <x:v>أمر شراء
PURCHASE ORDER</x:v>
      </x:c>
      <x:c r="G1" s="6" t="str">
        <x:v>أمر شراء
PURCHASE ORDER</x:v>
      </x:c>
      <x:c r="H1" s="6" t="str">
        <x:v>أمر شراء
PURCHASE ORDER</x:v>
      </x:c>
      <x:c r="I1" s="6" t="str">
        <x:v>أمر شراء
PURCHASE ORDER</x:v>
      </x:c>
      <x:c r="J1" s="6" t="str">
        <x:v>أمر شراء
PURCHASE ORDER</x:v>
      </x:c>
    </x:row>
    <x:row r="2">
      <x:c r="A2" s="6" t="str">
        <x:v>أمر شراء
PURCHASE ORDER</x:v>
      </x:c>
      <x:c r="B2" s="6" t="str">
        <x:v>أمر شراء
PURCHASE ORDER</x:v>
      </x:c>
      <x:c r="C2" s="6" t="str">
        <x:v>أمر شراء
PURCHASE ORDER</x:v>
      </x:c>
      <x:c r="D2" s="6" t="str">
        <x:v>أمر شراء
PURCHASE ORDER</x:v>
      </x:c>
      <x:c r="E2" s="6" t="str">
        <x:v>أمر شراء
PURCHASE ORDER</x:v>
      </x:c>
      <x:c r="F2" s="6" t="str">
        <x:v>أمر شراء
PURCHASE ORDER</x:v>
      </x:c>
      <x:c r="G2" s="6" t="str">
        <x:v>أمر شراء
PURCHASE ORDER</x:v>
      </x:c>
      <x:c r="H2" s="6" t="str">
        <x:v>أمر شراء
PURCHASE ORDER</x:v>
      </x:c>
      <x:c r="I2" s="6" t="str">
        <x:v>أمر شراء
PURCHASE ORDER</x:v>
      </x:c>
      <x:c r="J2" s="6" t="str">
        <x:v>أمر شراء
PURCHASE ORDER</x:v>
      </x:c>
    </x:row>
    <x:row r="3">
      <x:c r="A3" s="51"/>
      <x:c r="B3" s="51"/>
      <x:c r="C3" s="51"/>
      <x:c r="D3" s="51"/>
      <x:c r="E3" s="51"/>
      <x:c r="F3" s="51"/>
      <x:c r="G3" s="51"/>
      <x:c r="H3" s="51"/>
      <x:c r="I3" s="51"/>
      <x:c r="J3" s="51"/>
    </x:row>
    <x:row r="4">
      <x:c r="A4" s="52" t="str">
        <x:v>اسم المنشأة</x:v>
      </x:c>
      <x:c r="B4" s="52"/>
      <x:c r="C4" s="53" t="str"/>
      <x:c r="D4" s="54" t="str"/>
      <x:c r="E4" s="54" t="str"/>
      <x:c r="F4" s="55" t="str"/>
      <x:c r="G4" s="52" t="str">
        <x:v>تاريخ الأمر</x:v>
      </x:c>
      <x:c r="H4" s="52"/>
      <x:c r="I4" s="56" t="str"/>
      <x:c r="J4" s="57" t="str"/>
    </x:row>
    <x:row r="5">
      <x:c r="A5" s="52" t="str">
        <x:v>رقم المستند</x:v>
      </x:c>
      <x:c r="B5" s="52"/>
      <x:c r="C5" s="53" t="str"/>
      <x:c r="D5" s="54" t="str"/>
      <x:c r="E5" s="54" t="str"/>
      <x:c r="F5" s="55" t="str"/>
      <x:c r="G5" s="52" t="str">
        <x:v>المرجع</x:v>
      </x:c>
      <x:c r="H5" s="52"/>
      <x:c r="I5" s="53" t="str"/>
      <x:c r="J5" s="55" t="str"/>
    </x:row>
    <x:row r="6">
      <x:c r="A6" s="52" t="str">
        <x:v>العنوان</x:v>
      </x:c>
      <x:c r="B6" s="52"/>
      <x:c r="C6" s="53" t="str"/>
      <x:c r="D6" s="54" t="str"/>
      <x:c r="E6" s="54" t="str"/>
      <x:c r="F6" s="55" t="str"/>
      <x:c r="G6" s="52" t="str">
        <x:v>المسؤول</x:v>
      </x:c>
      <x:c r="H6" s="52"/>
      <x:c r="I6" s="53" t="str"/>
      <x:c r="J6" s="55" t="str"/>
    </x:row>
    <x:row r="7">
      <x:c r="A7" s="52" t="str">
        <x:v>الهاتف والبريد</x:v>
      </x:c>
      <x:c r="B7" s="52"/>
      <x:c r="C7" s="53" t="str"/>
      <x:c r="D7" s="54" t="str"/>
      <x:c r="E7" s="54" t="str"/>
      <x:c r="F7" s="55" t="str"/>
      <x:c r="G7" s="52" t="str">
        <x:v>الحالة</x:v>
      </x:c>
      <x:c r="H7" s="52"/>
      <x:c r="I7" s="53" t="str"/>
      <x:c r="J7" s="55" t="str"/>
    </x:row>
    <x:row r="8">
      <x:c r="A8" s="51"/>
      <x:c r="B8" s="51"/>
      <x:c r="C8" s="51"/>
      <x:c r="D8" s="51"/>
      <x:c r="E8" s="51"/>
      <x:c r="F8" s="51"/>
      <x:c r="G8" s="51"/>
      <x:c r="H8" s="51"/>
      <x:c r="I8" s="51"/>
      <x:c r="J8" s="51"/>
    </x:row>
    <x:row r="9">
      <x:c r="A9" s="52" t="str">
        <x:v>المورد</x:v>
      </x:c>
      <x:c r="B9" s="52"/>
      <x:c r="C9" s="53" t="str"/>
      <x:c r="D9" s="54" t="str"/>
      <x:c r="E9" s="54" t="str"/>
      <x:c r="F9" s="55" t="str"/>
      <x:c r="G9" s="52" t="str">
        <x:v>صلاحية المستند</x:v>
      </x:c>
      <x:c r="H9" s="52"/>
      <x:c r="I9" s="53" t="str"/>
      <x:c r="J9" s="55" t="str"/>
    </x:row>
    <x:row r="10">
      <x:c r="A10" s="52" t="str">
        <x:v>العنوان وشروط التسليم</x:v>
      </x:c>
      <x:c r="B10" s="52"/>
      <x:c r="C10" s="53" t="str"/>
      <x:c r="D10" s="54" t="str"/>
      <x:c r="E10" s="54" t="str"/>
      <x:c r="F10" s="55" t="str"/>
      <x:c r="G10" s="52" t="str">
        <x:v>العملة</x:v>
      </x:c>
      <x:c r="H10" s="52"/>
      <x:c r="I10" s="53" t="str">
        <x:v>SAR</x:v>
      </x:c>
      <x:c r="J10" s="55" t="str">
        <x:v>SAR</x:v>
      </x:c>
    </x:row>
    <x:row r="11">
      <x:c r="A11" s="51"/>
      <x:c r="B11" s="51"/>
      <x:c r="C11" s="51"/>
      <x:c r="D11" s="51"/>
      <x:c r="E11" s="51"/>
      <x:c r="F11" s="51"/>
      <x:c r="G11" s="51"/>
      <x:c r="H11" s="51"/>
      <x:c r="I11" s="51"/>
      <x:c r="J11" s="51"/>
    </x:row>
    <x:row r="12" ht="34" customHeight="1">
      <x:c r="A12" s="18" t="str">
        <x:v>#</x:v>
      </x:c>
      <x:c r="B12" s="18" t="str">
        <x:v>رمز الصنف</x:v>
      </x:c>
      <x:c r="C12" s="18" t="str">
        <x:v>الوصف</x:v>
      </x:c>
      <x:c r="D12" s="18" t="str">
        <x:v>الوحدة</x:v>
      </x:c>
      <x:c r="E12" s="18" t="str">
        <x:v>الكمية</x:v>
      </x:c>
      <x:c r="F12" s="18" t="str">
        <x:v>سعر الوحدة</x:v>
      </x:c>
      <x:c r="G12" s="18" t="str">
        <x:v>الخصم</x:v>
      </x:c>
      <x:c r="H12" s="18" t="str">
        <x:v>الصافي</x:v>
      </x:c>
      <x:c r="I12" s="18" t="str">
        <x:v>الضريبة 15%</x:v>
      </x:c>
      <x:c r="J12" s="18" t="str">
        <x:v>الإجمالي</x:v>
      </x:c>
    </x:row>
    <x:row r="13">
      <x:c r="A13" s="58" t="n">
        <x:v>1</x:v>
      </x:c>
      <x:c r="B13" s="59" t="str"/>
      <x:c r="C13" s="59" t="str"/>
      <x:c r="D13" s="59" t="str"/>
      <x:c r="E13" s="60"/>
      <x:c r="F13" s="60"/>
      <x:c r="G13" s="60"/>
      <x:c r="H13" s="61" t="str">
        <x:f>IF(OR(C13="",E13="",F13=""),"",ROUND(E13*F13-IF(G13="",0,G13),2))</x:f>
      </x:c>
      <x:c r="I13" s="61" t="str">
        <x:f>IF(H13="","",ROUND(H13*0.15,2))</x:f>
      </x:c>
      <x:c r="J13" s="62" t="str">
        <x:f>IF(H13="","",ROUND(H13+I13,2))</x:f>
      </x:c>
    </x:row>
    <x:row r="14">
      <x:c r="A14" s="63" t="n">
        <x:v>2</x:v>
      </x:c>
      <x:c r="B14" s="64" t="str"/>
      <x:c r="C14" s="64" t="str"/>
      <x:c r="D14" s="64" t="str"/>
      <x:c r="E14" s="65"/>
      <x:c r="F14" s="65"/>
      <x:c r="G14" s="65"/>
      <x:c r="H14" s="66" t="str">
        <x:f>IF(OR(C14="",E14="",F14=""),"",ROUND(E14*F14-IF(G14="",0,G14),2))</x:f>
      </x:c>
      <x:c r="I14" s="66" t="str">
        <x:f>IF(H14="","",ROUND(H14*0.15,2))</x:f>
      </x:c>
      <x:c r="J14" s="67" t="str">
        <x:f>IF(H14="","",ROUND(H14+I14,2))</x:f>
      </x:c>
    </x:row>
    <x:row r="15">
      <x:c r="A15" s="63" t="n">
        <x:v>3</x:v>
      </x:c>
      <x:c r="B15" s="64" t="str"/>
      <x:c r="C15" s="64" t="str"/>
      <x:c r="D15" s="64" t="str"/>
      <x:c r="E15" s="65"/>
      <x:c r="F15" s="65"/>
      <x:c r="G15" s="65"/>
      <x:c r="H15" s="66" t="str">
        <x:f>IF(OR(C15="",E15="",F15=""),"",ROUND(E15*F15-IF(G15="",0,G15),2))</x:f>
      </x:c>
      <x:c r="I15" s="66" t="str">
        <x:f>IF(H15="","",ROUND(H15*0.15,2))</x:f>
      </x:c>
      <x:c r="J15" s="67" t="str">
        <x:f>IF(H15="","",ROUND(H15+I15,2))</x:f>
      </x:c>
    </x:row>
    <x:row r="16">
      <x:c r="A16" s="63" t="n">
        <x:v>4</x:v>
      </x:c>
      <x:c r="B16" s="64" t="str"/>
      <x:c r="C16" s="64" t="str"/>
      <x:c r="D16" s="64" t="str"/>
      <x:c r="E16" s="65"/>
      <x:c r="F16" s="65"/>
      <x:c r="G16" s="65"/>
      <x:c r="H16" s="66" t="str">
        <x:f>IF(OR(C16="",E16="",F16=""),"",ROUND(E16*F16-IF(G16="",0,G16),2))</x:f>
      </x:c>
      <x:c r="I16" s="66" t="str">
        <x:f>IF(H16="","",ROUND(H16*0.15,2))</x:f>
      </x:c>
      <x:c r="J16" s="67" t="str">
        <x:f>IF(H16="","",ROUND(H16+I16,2))</x:f>
      </x:c>
    </x:row>
    <x:row r="17">
      <x:c r="A17" s="63" t="n">
        <x:v>5</x:v>
      </x:c>
      <x:c r="B17" s="64" t="str"/>
      <x:c r="C17" s="64" t="str"/>
      <x:c r="D17" s="64" t="str"/>
      <x:c r="E17" s="65"/>
      <x:c r="F17" s="65"/>
      <x:c r="G17" s="65"/>
      <x:c r="H17" s="66" t="str">
        <x:f>IF(OR(C17="",E17="",F17=""),"",ROUND(E17*F17-IF(G17="",0,G17),2))</x:f>
      </x:c>
      <x:c r="I17" s="66" t="str">
        <x:f>IF(H17="","",ROUND(H17*0.15,2))</x:f>
      </x:c>
      <x:c r="J17" s="67" t="str">
        <x:f>IF(H17="","",ROUND(H17+I17,2))</x:f>
      </x:c>
    </x:row>
    <x:row r="18">
      <x:c r="A18" s="63" t="n">
        <x:v>6</x:v>
      </x:c>
      <x:c r="B18" s="64" t="str"/>
      <x:c r="C18" s="64" t="str"/>
      <x:c r="D18" s="64" t="str"/>
      <x:c r="E18" s="65"/>
      <x:c r="F18" s="65"/>
      <x:c r="G18" s="65"/>
      <x:c r="H18" s="66" t="str">
        <x:f>IF(OR(C18="",E18="",F18=""),"",ROUND(E18*F18-IF(G18="",0,G18),2))</x:f>
      </x:c>
      <x:c r="I18" s="66" t="str">
        <x:f>IF(H18="","",ROUND(H18*0.15,2))</x:f>
      </x:c>
      <x:c r="J18" s="67" t="str">
        <x:f>IF(H18="","",ROUND(H18+I18,2))</x:f>
      </x:c>
    </x:row>
    <x:row r="19">
      <x:c r="A19" s="63" t="n">
        <x:v>7</x:v>
      </x:c>
      <x:c r="B19" s="64" t="str"/>
      <x:c r="C19" s="64" t="str"/>
      <x:c r="D19" s="64" t="str"/>
      <x:c r="E19" s="65"/>
      <x:c r="F19" s="65"/>
      <x:c r="G19" s="65"/>
      <x:c r="H19" s="66" t="str">
        <x:f>IF(OR(C19="",E19="",F19=""),"",ROUND(E19*F19-IF(G19="",0,G19),2))</x:f>
      </x:c>
      <x:c r="I19" s="66" t="str">
        <x:f>IF(H19="","",ROUND(H19*0.15,2))</x:f>
      </x:c>
      <x:c r="J19" s="67" t="str">
        <x:f>IF(H19="","",ROUND(H19+I19,2))</x:f>
      </x:c>
    </x:row>
    <x:row r="20">
      <x:c r="A20" s="63" t="n">
        <x:v>8</x:v>
      </x:c>
      <x:c r="B20" s="64" t="str"/>
      <x:c r="C20" s="64" t="str"/>
      <x:c r="D20" s="64" t="str"/>
      <x:c r="E20" s="65"/>
      <x:c r="F20" s="65"/>
      <x:c r="G20" s="65"/>
      <x:c r="H20" s="66" t="str">
        <x:f>IF(OR(C20="",E20="",F20=""),"",ROUND(E20*F20-IF(G20="",0,G20),2))</x:f>
      </x:c>
      <x:c r="I20" s="66" t="str">
        <x:f>IF(H20="","",ROUND(H20*0.15,2))</x:f>
      </x:c>
      <x:c r="J20" s="67" t="str">
        <x:f>IF(H20="","",ROUND(H20+I20,2))</x:f>
      </x:c>
    </x:row>
    <x:row r="21">
      <x:c r="A21" s="63" t="n">
        <x:v>9</x:v>
      </x:c>
      <x:c r="B21" s="64" t="str"/>
      <x:c r="C21" s="64" t="str"/>
      <x:c r="D21" s="64" t="str"/>
      <x:c r="E21" s="65"/>
      <x:c r="F21" s="65"/>
      <x:c r="G21" s="65"/>
      <x:c r="H21" s="66" t="str">
        <x:f>IF(OR(C21="",E21="",F21=""),"",ROUND(E21*F21-IF(G21="",0,G21),2))</x:f>
      </x:c>
      <x:c r="I21" s="66" t="str">
        <x:f>IF(H21="","",ROUND(H21*0.15,2))</x:f>
      </x:c>
      <x:c r="J21" s="67" t="str">
        <x:f>IF(H21="","",ROUND(H21+I21,2))</x:f>
      </x:c>
    </x:row>
    <x:row r="22">
      <x:c r="A22" s="63" t="n">
        <x:v>10</x:v>
      </x:c>
      <x:c r="B22" s="64" t="str"/>
      <x:c r="C22" s="64" t="str"/>
      <x:c r="D22" s="64" t="str"/>
      <x:c r="E22" s="65"/>
      <x:c r="F22" s="65"/>
      <x:c r="G22" s="65"/>
      <x:c r="H22" s="66" t="str">
        <x:f>IF(OR(C22="",E22="",F22=""),"",ROUND(E22*F22-IF(G22="",0,G22),2))</x:f>
      </x:c>
      <x:c r="I22" s="66" t="str">
        <x:f>IF(H22="","",ROUND(H22*0.15,2))</x:f>
      </x:c>
      <x:c r="J22" s="67" t="str">
        <x:f>IF(H22="","",ROUND(H22+I22,2))</x:f>
      </x:c>
    </x:row>
    <x:row r="23">
      <x:c r="A23" s="63" t="n">
        <x:v>11</x:v>
      </x:c>
      <x:c r="B23" s="64" t="str"/>
      <x:c r="C23" s="64" t="str"/>
      <x:c r="D23" s="64" t="str"/>
      <x:c r="E23" s="65"/>
      <x:c r="F23" s="65"/>
      <x:c r="G23" s="65"/>
      <x:c r="H23" s="66" t="str">
        <x:f>IF(OR(C23="",E23="",F23=""),"",ROUND(E23*F23-IF(G23="",0,G23),2))</x:f>
      </x:c>
      <x:c r="I23" s="66" t="str">
        <x:f>IF(H23="","",ROUND(H23*0.15,2))</x:f>
      </x:c>
      <x:c r="J23" s="67" t="str">
        <x:f>IF(H23="","",ROUND(H23+I23,2))</x:f>
      </x:c>
    </x:row>
    <x:row r="24">
      <x:c r="A24" s="68" t="n">
        <x:v>12</x:v>
      </x:c>
      <x:c r="B24" s="69" t="str"/>
      <x:c r="C24" s="69" t="str"/>
      <x:c r="D24" s="69" t="str"/>
      <x:c r="E24" s="70"/>
      <x:c r="F24" s="70"/>
      <x:c r="G24" s="70"/>
      <x:c r="H24" s="71" t="str">
        <x:f>IF(OR(C24="",E24="",F24=""),"",ROUND(E24*F24-IF(G24="",0,G24),2))</x:f>
      </x:c>
      <x:c r="I24" s="71" t="str">
        <x:f>IF(H24="","",ROUND(H24*0.15,2))</x:f>
      </x:c>
      <x:c r="J24" s="72" t="str">
        <x:f>IF(H24="","",ROUND(H24+I24,2))</x:f>
      </x:c>
    </x:row>
    <x:row r="25">
      <x:c r="A25" s="51"/>
      <x:c r="B25" s="51"/>
      <x:c r="C25" s="51"/>
      <x:c r="D25" s="51"/>
      <x:c r="E25" s="73"/>
      <x:c r="F25" s="73"/>
      <x:c r="G25" s="73"/>
      <x:c r="H25" s="73"/>
      <x:c r="I25" s="73"/>
      <x:c r="J25" s="73"/>
    </x:row>
    <x:row r="26">
      <x:c r="A26" s="52" t="str">
        <x:v>الشروط</x:v>
      </x:c>
      <x:c r="B26" s="52"/>
      <x:c r="C26" s="53" t="str"/>
      <x:c r="D26" s="54" t="str"/>
      <x:c r="E26" s="74" t="str"/>
      <x:c r="F26" s="75" t="str"/>
      <x:c r="G26" s="76" t="str">
        <x:v>الإجمالي قبل الضريبة</x:v>
      </x:c>
      <x:c r="H26" s="76"/>
      <x:c r="I26" s="76"/>
      <x:c r="J26" s="77" t="n">
        <x:f>IF(COUNTA(C13:C24)=0,"",SUM(H13:H24))</x:f>
        <x:v>0</x:v>
      </x:c>
    </x:row>
    <x:row r="27">
      <x:c r="A27" s="52" t="str">
        <x:v>مدة التوريد</x:v>
      </x:c>
      <x:c r="B27" s="52"/>
      <x:c r="C27" s="53" t="str"/>
      <x:c r="D27" s="54" t="str"/>
      <x:c r="E27" s="74" t="str"/>
      <x:c r="F27" s="75" t="str"/>
      <x:c r="G27" s="76" t="str">
        <x:v>إجمالي الضريبة</x:v>
      </x:c>
      <x:c r="H27" s="76"/>
      <x:c r="I27" s="76"/>
      <x:c r="J27" s="77" t="str">
        <x:f>IF(J26="","",SUM(I13:I24))</x:f>
      </x:c>
    </x:row>
    <x:row r="28">
      <x:c r="A28" s="52" t="str">
        <x:v>طريقة الدفع</x:v>
      </x:c>
      <x:c r="B28" s="52"/>
      <x:c r="C28" s="53" t="str"/>
      <x:c r="D28" s="54" t="str"/>
      <x:c r="E28" s="74" t="str"/>
      <x:c r="F28" s="75" t="str"/>
      <x:c r="G28" s="76" t="str">
        <x:v>الإجمالي النهائي</x:v>
      </x:c>
      <x:c r="H28" s="76"/>
      <x:c r="I28" s="76"/>
      <x:c r="J28" s="77" t="str">
        <x:f>IF(J26="","",J26+J27+IF(J29="",0,J29))</x:f>
      </x:c>
    </x:row>
    <x:row r="29">
      <x:c r="A29" s="52" t="str">
        <x:v>الحساب البنكي</x:v>
      </x:c>
      <x:c r="B29" s="52"/>
      <x:c r="C29" s="53" t="str"/>
      <x:c r="D29" s="54" t="str"/>
      <x:c r="E29" s="74" t="str"/>
      <x:c r="F29" s="75" t="str"/>
      <x:c r="G29" s="76" t="str">
        <x:v>الشحن أو رسوم أخرى</x:v>
      </x:c>
      <x:c r="H29" s="76"/>
      <x:c r="I29" s="76"/>
      <x:c r="J29" s="78" t="str"/>
    </x:row>
    <x:row r="30">
      <x:c r="A30" s="52" t="str">
        <x:v>أعده</x:v>
      </x:c>
      <x:c r="B30" s="52"/>
      <x:c r="C30" s="53" t="str"/>
      <x:c r="D30" s="54" t="str"/>
      <x:c r="E30" s="54" t="str"/>
      <x:c r="F30" s="55" t="str"/>
      <x:c r="G30" s="51"/>
      <x:c r="H30" s="51"/>
      <x:c r="I30" s="51"/>
      <x:c r="J30" s="51"/>
    </x:row>
    <x:row r="31">
      <x:c r="A31" s="52" t="str">
        <x:v>اعتمده</x:v>
      </x:c>
      <x:c r="B31" s="52"/>
      <x:c r="C31" s="53" t="str"/>
      <x:c r="D31" s="54" t="str"/>
      <x:c r="E31" s="54" t="str"/>
      <x:c r="F31" s="55" t="str"/>
      <x:c r="G31" s="51"/>
      <x:c r="H31" s="51"/>
      <x:c r="I31" s="51"/>
      <x:c r="J31" s="51"/>
    </x:row>
    <x:row r="32">
      <x:c r="A32" s="52" t="str">
        <x:v>التوقيع</x:v>
      </x:c>
      <x:c r="B32" s="52"/>
      <x:c r="C32" s="53" t="str"/>
      <x:c r="D32" s="54" t="str"/>
      <x:c r="E32" s="54" t="str"/>
      <x:c r="F32" s="55" t="str"/>
      <x:c r="G32" s="51"/>
      <x:c r="H32" s="51"/>
      <x:c r="I32" s="51"/>
      <x:c r="J32" s="51"/>
    </x:row>
    <x:row r="33">
      <x:c r="A33" s="51"/>
      <x:c r="B33" s="51"/>
      <x:c r="C33" s="51"/>
      <x:c r="D33" s="51"/>
      <x:c r="E33" s="51"/>
      <x:c r="F33" s="51"/>
      <x:c r="G33" s="51"/>
      <x:c r="H33" s="51"/>
      <x:c r="I33" s="51"/>
      <x:c r="J33" s="51"/>
    </x:row>
    <x:row r="34">
      <x:c r="A34" s="79" t="str">
        <x:v>الخلايا الصفراء مخصصة للإدخال، والخلايا الرمادية تحسب تلقائيًا.</x:v>
      </x:c>
      <x:c r="B34" s="79" t="str">
        <x:v>الخلايا الصفراء مخصصة للإدخال، والخلايا الرمادية تحسب تلقائيًا.</x:v>
      </x:c>
      <x:c r="C34" s="79" t="str">
        <x:v>الخلايا الصفراء مخصصة للإدخال، والخلايا الرمادية تحسب تلقائيًا.</x:v>
      </x:c>
      <x:c r="D34" s="79" t="str">
        <x:v>الخلايا الصفراء مخصصة للإدخال، والخلايا الرمادية تحسب تلقائيًا.</x:v>
      </x:c>
      <x:c r="E34" s="79" t="str">
        <x:v>الخلايا الصفراء مخصصة للإدخال، والخلايا الرمادية تحسب تلقائيًا.</x:v>
      </x:c>
      <x:c r="F34" s="79" t="str">
        <x:v>الخلايا الصفراء مخصصة للإدخال، والخلايا الرمادية تحسب تلقائيًا.</x:v>
      </x:c>
      <x:c r="G34" s="79" t="str">
        <x:v>الخلايا الصفراء مخصصة للإدخال، والخلايا الرمادية تحسب تلقائيًا.</x:v>
      </x:c>
      <x:c r="H34" s="79" t="str">
        <x:v>الخلايا الصفراء مخصصة للإدخال، والخلايا الرمادية تحسب تلقائيًا.</x:v>
      </x:c>
      <x:c r="I34" s="79" t="str">
        <x:v>الخلايا الصفراء مخصصة للإدخال، والخلايا الرمادية تحسب تلقائيًا.</x:v>
      </x:c>
      <x:c r="J34" s="79" t="str">
        <x:v>الخلايا الصفراء مخصصة للإدخال، والخلايا الرمادية تحسب تلقائيًا.</x:v>
      </x:c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</x:row>
  </x:sheetData>
  <x:mergeCells>
    <x:mergeCell ref="A1:J2"/>
    <x:mergeCell ref="C4:F4"/>
    <x:mergeCell ref="C5:F5"/>
    <x:mergeCell ref="C6:F6"/>
    <x:mergeCell ref="C7:F7"/>
    <x:mergeCell ref="I4:J4"/>
    <x:mergeCell ref="I5:J5"/>
    <x:mergeCell ref="I6:J6"/>
    <x:mergeCell ref="I7:J7"/>
    <x:mergeCell ref="C9:F9"/>
    <x:mergeCell ref="C10:F10"/>
    <x:mergeCell ref="I9:J9"/>
    <x:mergeCell ref="I10:J10"/>
    <x:mergeCell ref="C26:F26"/>
    <x:mergeCell ref="C27:F27"/>
    <x:mergeCell ref="C28:F28"/>
    <x:mergeCell ref="C29:F29"/>
    <x:mergeCell ref="C30:F30"/>
    <x:mergeCell ref="C31:F31"/>
    <x:mergeCell ref="C32:F32"/>
    <x:mergeCell ref="A34:J34"/>
  </x:mergeCells>
  <x:dataValidations count="2">
    <x:dataValidation type="list" sqref="I7:J7">
      <x:formula1>"مسودة,معتمد,ملغي"</x:formula1>
    </x:dataValidation>
    <x:dataValidation type="decimal" operator="greaterThanOrEqual" sqref="E13:G24">
      <x:formula1>0</x:formula1>
    </x:dataValidation>
  </x:dataValidations>
  <x:pageMargins left="0.7" right="0.7" top="0.75" bottom="0.75" header="0.3" footer="0.3"/>
</x:worksheet>
</file>